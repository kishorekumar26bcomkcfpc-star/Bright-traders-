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C3284FEC-1CFB-470C-B54F-78D783B8EF34}" xr6:coauthVersionLast="47" xr6:coauthVersionMax="47" xr10:uidLastSave="{00000000-0000-0000-0000-000000000000}"/>
  <bookViews>
    <workbookView xWindow="240" yWindow="105" windowWidth="14805" windowHeight="8010" firstSheet="7" xr2:uid="{00000000-000D-0000-FFFF-FFFF00000000}"/>
  </bookViews>
  <sheets>
    <sheet name="Problem " sheetId="1" r:id="rId1"/>
    <sheet name="Journal " sheetId="2" r:id="rId2"/>
    <sheet name="Ledger " sheetId="3" r:id="rId3"/>
    <sheet name="Trail balance " sheetId="4" r:id="rId4"/>
    <sheet name="Trading account " sheetId="5" r:id="rId5"/>
    <sheet name="Profit and loss account " sheetId="6" r:id="rId6"/>
    <sheet name="Balance sheet " sheetId="7" r:id="rId7"/>
    <sheet name="Ratio analysis 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8" l="1"/>
  <c r="B12" i="8"/>
  <c r="B17" i="8"/>
  <c r="B22" i="8"/>
  <c r="B27" i="8"/>
  <c r="B32" i="8"/>
  <c r="B37" i="8"/>
  <c r="B42" i="8"/>
  <c r="F21" i="7"/>
  <c r="C21" i="7"/>
  <c r="F21" i="6"/>
  <c r="C21" i="6"/>
  <c r="F11" i="5"/>
  <c r="C11" i="5"/>
  <c r="D37" i="4"/>
  <c r="C37" i="4"/>
  <c r="D44" i="3"/>
  <c r="D35" i="3"/>
  <c r="H34" i="3"/>
  <c r="D34" i="3"/>
  <c r="H14" i="3"/>
  <c r="D13" i="3"/>
  <c r="H13" i="3"/>
</calcChain>
</file>

<file path=xl/sharedStrings.xml><?xml version="1.0" encoding="utf-8"?>
<sst xmlns="http://schemas.openxmlformats.org/spreadsheetml/2006/main" count="1902" uniqueCount="502">
  <si>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</si>
  <si>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</si>
  <si>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</si>
  <si>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</si>
  <si>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</si>
  <si>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</si>
  <si>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</si>
  <si>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</si>
  <si>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</si>
  <si>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</si>
  <si>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</si>
  <si>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</si>
  <si>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</si>
  <si>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</si>
  <si>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</si>
  <si>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</si>
  <si>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</si>
  <si>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</si>
  <si>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</si>
  <si>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</si>
  <si>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</si>
  <si>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</si>
  <si>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</si>
  <si>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</si>
  <si>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</si>
  <si>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</si>
  <si>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</si>
  <si>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</si>
  <si>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</si>
  <si>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</si>
  <si>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</si>
  <si>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</si>
  <si>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</si>
  <si>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</si>
  <si>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</si>
  <si>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</si>
  <si>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</si>
  <si>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</si>
  <si>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</si>
  <si>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</si>
  <si>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</si>
  <si>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</si>
  <si>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</si>
  <si>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</si>
  <si>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</si>
  <si>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</si>
  <si>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</si>
  <si>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</si>
  <si>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</si>
  <si>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</si>
  <si>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</si>
  <si>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</si>
  <si>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</si>
  <si>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</si>
  <si>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</si>
  <si>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</si>
  <si>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</si>
  <si>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</si>
  <si>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</si>
  <si>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</si>
  <si>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</si>
  <si>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</si>
  <si>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</si>
  <si>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</si>
  <si>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</si>
  <si>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</si>
  <si>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</si>
  <si>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</si>
  <si>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</si>
  <si>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</si>
  <si>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</si>
  <si>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</si>
  <si>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</si>
  <si>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</si>
  <si>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</si>
  <si>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</si>
  <si>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</si>
  <si>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</si>
  <si>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</si>
  <si>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</si>
  <si>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</si>
  <si>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</si>
  <si>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</si>
  <si>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</si>
  <si>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</si>
  <si>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</si>
  <si>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</si>
  <si>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</si>
  <si>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</si>
  <si>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</si>
  <si>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</si>
  <si>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</si>
  <si>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</si>
  <si>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M/s Bright Traders for the month of March 2026</t>
  </si>
  <si>
    <t xml:space="preserve">Journal Entries </t>
  </si>
  <si>
    <t xml:space="preserve">Date </t>
  </si>
  <si>
    <t>Lf</t>
  </si>
  <si>
    <t>Debit ₹</t>
  </si>
  <si>
    <t>Credit ₹</t>
  </si>
  <si>
    <t>1.3.2026</t>
  </si>
  <si>
    <t>Cash a/c</t>
  </si>
  <si>
    <t>Dr</t>
  </si>
  <si>
    <t>Bank a/c</t>
  </si>
  <si>
    <t>Stock a/c</t>
  </si>
  <si>
    <t>Furniture a/c</t>
  </si>
  <si>
    <t>Machinery a/c</t>
  </si>
  <si>
    <t>Computer a/c</t>
  </si>
  <si>
    <t>Manoj stores a/c</t>
  </si>
  <si>
    <t>Deepa stores a/c</t>
  </si>
  <si>
    <t>To capital a/c</t>
  </si>
  <si>
    <t>To Ravi traders a/c</t>
  </si>
  <si>
    <t>To Siva traders a/c</t>
  </si>
  <si>
    <t>To bank loan a/c</t>
  </si>
  <si>
    <t>(Being opening balance introduced)</t>
  </si>
  <si>
    <t>2.3.2026</t>
  </si>
  <si>
    <t>Purchase a/c</t>
  </si>
  <si>
    <t>(Being purchased goods from Ravi traders on credit)</t>
  </si>
  <si>
    <t>3.3.2026</t>
  </si>
  <si>
    <t>To cash a/c</t>
  </si>
  <si>
    <t>(Being purchased goods for cash)</t>
  </si>
  <si>
    <t>4.3.2026</t>
  </si>
  <si>
    <t>To sales a/c</t>
  </si>
  <si>
    <t>(Being sold goods to Manoj stores on credit)</t>
  </si>
  <si>
    <t>5.3.2026</t>
  </si>
  <si>
    <t>(Being sold goods for cash)</t>
  </si>
  <si>
    <t>6.3.2026</t>
  </si>
  <si>
    <t>Carriage inward a/c</t>
  </si>
  <si>
    <t>(Being paid carriage inwards)</t>
  </si>
  <si>
    <t>7.3.2026</t>
  </si>
  <si>
    <t>Wages a/c</t>
  </si>
  <si>
    <t>(Being paid wages)</t>
  </si>
  <si>
    <t>8.3.2026</t>
  </si>
  <si>
    <t>Ravi traders a/c</t>
  </si>
  <si>
    <t>To purchase return a/c</t>
  </si>
  <si>
    <t>(Being returned goods to Ravi traders)</t>
  </si>
  <si>
    <t>9.3.2026</t>
  </si>
  <si>
    <t>Sales return a/c</t>
  </si>
  <si>
    <t>To Manoj stores a/c</t>
  </si>
  <si>
    <t>(Being manoj stores returned goods to us)</t>
  </si>
  <si>
    <t>10.3.2026</t>
  </si>
  <si>
    <t>Office equipment a/c</t>
  </si>
  <si>
    <t>To bank a/c</t>
  </si>
  <si>
    <t>(Being purchased office equipment by cheque)</t>
  </si>
  <si>
    <t>11.3.2026</t>
  </si>
  <si>
    <t>Salary a/c</t>
  </si>
  <si>
    <t>(Being paid salary)</t>
  </si>
  <si>
    <t>12.3.2026</t>
  </si>
  <si>
    <t>Discount allowed a/c</t>
  </si>
  <si>
    <t>(Being received from Manoj stores and allowed discount)</t>
  </si>
  <si>
    <t>13.3.2026</t>
  </si>
  <si>
    <t>To discount received a/c</t>
  </si>
  <si>
    <t>(Being paid to Ravi traders and received discount)</t>
  </si>
  <si>
    <t>14.3.2026</t>
  </si>
  <si>
    <t>Office rent a/c</t>
  </si>
  <si>
    <t>(Being paid office rent)</t>
  </si>
  <si>
    <t>15.3.2026</t>
  </si>
  <si>
    <t>(Being purchased goods from Siva traders on credit)</t>
  </si>
  <si>
    <t>16.3.2026</t>
  </si>
  <si>
    <t>(Being Sold goods to Deepa stores on credit)</t>
  </si>
  <si>
    <t>17.3.2026</t>
  </si>
  <si>
    <t>To Deepa stores a/c</t>
  </si>
  <si>
    <t>(Being received from Deepa stores)</t>
  </si>
  <si>
    <t>18.3.2026</t>
  </si>
  <si>
    <t>Electricity charges a/c</t>
  </si>
  <si>
    <t>(Being paid electricity charges)</t>
  </si>
  <si>
    <t>19.3.2026</t>
  </si>
  <si>
    <t>To commission received a/c</t>
  </si>
  <si>
    <t>(Being recieved commission)</t>
  </si>
  <si>
    <t>20.3.2026</t>
  </si>
  <si>
    <t>(Being withdraw cash from bank for office use)</t>
  </si>
  <si>
    <t>21.3.2026</t>
  </si>
  <si>
    <t>Drawings a/c</t>
  </si>
  <si>
    <t>(Being drawings by propreitor)</t>
  </si>
  <si>
    <t>22.3.2026</t>
  </si>
  <si>
    <t>Insurance premium a/c</t>
  </si>
  <si>
    <t>(Being paid insurance premium by cheque)</t>
  </si>
  <si>
    <t>23.3.2026</t>
  </si>
  <si>
    <t>Carriage outward a/c</t>
  </si>
  <si>
    <t>(Being paid carriage outward)</t>
  </si>
  <si>
    <t>24.3.2026</t>
  </si>
  <si>
    <t>To interest received a/c</t>
  </si>
  <si>
    <t>(Being interest received through bank)</t>
  </si>
  <si>
    <t>25.3.2026</t>
  </si>
  <si>
    <t>26.3.2026</t>
  </si>
  <si>
    <t>Advertisement expenses a/c</t>
  </si>
  <si>
    <t>(Being paid advertisement expenses)</t>
  </si>
  <si>
    <t>27.3.2026</t>
  </si>
  <si>
    <t>Miscellanous expenses a/c</t>
  </si>
  <si>
    <t>(Being paid miscellanous expenses)</t>
  </si>
  <si>
    <t>28.3.2026</t>
  </si>
  <si>
    <t>(Being purchased furniture for cash)</t>
  </si>
  <si>
    <t>29.3.2026</t>
  </si>
  <si>
    <t>Bank loan interest a/c</t>
  </si>
  <si>
    <t>(Being paid bank loan interest)</t>
  </si>
  <si>
    <t>30.3.2026</t>
  </si>
  <si>
    <t>(Being deposited additional cash into bank)</t>
  </si>
  <si>
    <t>Ledger entries of M/s Bright Traders for the month of March 2026</t>
  </si>
  <si>
    <t>1. Capital a/c</t>
  </si>
  <si>
    <t>Cr</t>
  </si>
  <si>
    <t xml:space="preserve">Particulars </t>
  </si>
  <si>
    <t>Jf</t>
  </si>
  <si>
    <t>Amount ₹</t>
  </si>
  <si>
    <t>To Ravi Traders a/c</t>
  </si>
  <si>
    <t>By cash a/c</t>
  </si>
  <si>
    <t>To Siva Traders a/c</t>
  </si>
  <si>
    <t>By bank a/c</t>
  </si>
  <si>
    <t>To Bank loan a/c</t>
  </si>
  <si>
    <t>By stock a/c</t>
  </si>
  <si>
    <t>31.3.2026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</si>
  <si>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</si>
  <si>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</si>
  <si>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</si>
  <si>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</si>
  <si>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</si>
  <si>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</si>
  <si>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1.4.2026</t>
  </si>
  <si>
    <t>By balance b/d</t>
  </si>
  <si>
    <t>2. Cash a/c</t>
  </si>
  <si>
    <t>To balance b/d</t>
  </si>
  <si>
    <t>By purchase a/c</t>
  </si>
  <si>
    <t>By carriage inward a/c</t>
  </si>
  <si>
    <t>By wages a/c</t>
  </si>
  <si>
    <t xml:space="preserve">To bank a/c </t>
  </si>
  <si>
    <t>By salary a/c</t>
  </si>
  <si>
    <t>By office rent a/c</t>
  </si>
  <si>
    <t>By electricity charges a/c</t>
  </si>
  <si>
    <t>By drawings a/c</t>
  </si>
  <si>
    <t>By carriage outward a/c</t>
  </si>
  <si>
    <t>By advertisement expenses a/c</t>
  </si>
  <si>
    <t>By miscelleanous expenses a/c</t>
  </si>
  <si>
    <t>By bank loan interest a/c</t>
  </si>
  <si>
    <t xml:space="preserve">By bank a/c </t>
  </si>
  <si>
    <t>By balance c/d</t>
  </si>
  <si>
    <t>Dr.                                                                                                                                                                                                                      Cr.</t>
  </si>
  <si>
    <t>3. Purchase a/c</t>
  </si>
  <si>
    <t>J.F</t>
  </si>
  <si>
    <t>02.03.2026</t>
  </si>
  <si>
    <t>To Ravi Traders A/C</t>
  </si>
  <si>
    <t> </t>
  </si>
  <si>
    <t>31.03.2026</t>
  </si>
  <si>
    <t>By Balance c/d</t>
  </si>
  <si>
    <t>03.03.2026</t>
  </si>
  <si>
    <t>To Cash A/C</t>
  </si>
  <si>
    <t>15.03.2026</t>
  </si>
  <si>
    <t>To Siva Suppliers A/C</t>
  </si>
  <si>
    <t>25.03.2026</t>
  </si>
  <si>
    <t>01.04.2026</t>
  </si>
  <si>
    <t>To Balance b/d</t>
  </si>
  <si>
    <t>4. Ravi traders a/c</t>
  </si>
  <si>
    <t>08.03.2026</t>
  </si>
  <si>
    <t>To Purchase Return A/C</t>
  </si>
  <si>
    <t>01.03.2026</t>
  </si>
  <si>
    <t>By Balance b/d</t>
  </si>
  <si>
    <t>13.03.2026</t>
  </si>
  <si>
    <t>To Bank A/C</t>
  </si>
  <si>
    <t>By Purchased A/C</t>
  </si>
  <si>
    <t>To Discount Received A/C</t>
  </si>
  <si>
    <t>To Balance c/d</t>
  </si>
  <si>
    <t xml:space="preserve">Dr </t>
  </si>
  <si>
    <t>5. Manoj stores a/c</t>
  </si>
  <si>
    <t>09.03.2026</t>
  </si>
  <si>
    <t>By Sales Return A/C</t>
  </si>
  <si>
    <t>04.03.2026</t>
  </si>
  <si>
    <t>To Sales A/C</t>
  </si>
  <si>
    <t>12.03.2026</t>
  </si>
  <si>
    <t>By Cash A/C</t>
  </si>
  <si>
    <t>By Discount Allowed A/C</t>
  </si>
  <si>
    <t>6. Sales a/c</t>
  </si>
  <si>
    <t>By Manoj Stores A/C</t>
  </si>
  <si>
    <t>05.03.2026</t>
  </si>
  <si>
    <t>16.03.2026</t>
  </si>
  <si>
    <t>By Deepa Stores A/C</t>
  </si>
  <si>
    <t>7. Carriage inwards a/c</t>
  </si>
  <si>
    <t>06.03.2026</t>
  </si>
  <si>
    <t>8. Wages a/c</t>
  </si>
  <si>
    <t>07.03.2026</t>
  </si>
  <si>
    <t>9. Purchase return a/c</t>
  </si>
  <si>
    <t>By Ravi Traders A/C</t>
  </si>
  <si>
    <t>10. Sales return a/c</t>
  </si>
  <si>
    <t>To Manoj Stores A/C</t>
  </si>
  <si>
    <t>11. Office Equipment a/c</t>
  </si>
  <si>
    <t>10.03.2026</t>
  </si>
  <si>
    <t>12. Bank a/c</t>
  </si>
  <si>
    <t>By Office Equipments A/C</t>
  </si>
  <si>
    <t>17.03.2026</t>
  </si>
  <si>
    <t>To Deepa Stores A/C</t>
  </si>
  <si>
    <t>24.03.2026</t>
  </si>
  <si>
    <t>To Interest Received A/C</t>
  </si>
  <si>
    <t>20.03.2026</t>
  </si>
  <si>
    <t>By Bank A/C</t>
  </si>
  <si>
    <t>30.03.2026</t>
  </si>
  <si>
    <t>22.03.2026</t>
  </si>
  <si>
    <t>By Insurance Premium A/C</t>
  </si>
  <si>
    <t>13. Salary a/c</t>
  </si>
  <si>
    <t>11.03.2026</t>
  </si>
  <si>
    <t>14. Discount allowed a/c</t>
  </si>
  <si>
    <t>To Manoj Traders A/C</t>
  </si>
  <si>
    <t>15. Discount received a/c</t>
  </si>
  <si>
    <t>16. Rent a/c</t>
  </si>
  <si>
    <t>14.03.2026</t>
  </si>
  <si>
    <t>17. Siva suppliers a/c</t>
  </si>
  <si>
    <t>18. Deepa stores a/c</t>
  </si>
  <si>
    <t>19. Electricity charges a/c</t>
  </si>
  <si>
    <t>18.03.2026</t>
  </si>
  <si>
    <t>20. Commission received a/c</t>
  </si>
  <si>
    <t>19.03.2026</t>
  </si>
  <si>
    <t>21. Drawings a/c</t>
  </si>
  <si>
    <t>21.03.2026</t>
  </si>
  <si>
    <t>22. Insurance premium a/c</t>
  </si>
  <si>
    <t>23. Carriage outwards a/c</t>
  </si>
  <si>
    <t>23.03.2026</t>
  </si>
  <si>
    <t>24. Interest received a/c</t>
  </si>
  <si>
    <t>25. Advertisement expenses a/c</t>
  </si>
  <si>
    <t>26.03.2026</t>
  </si>
  <si>
    <t>26. Miscellaneous a/c</t>
  </si>
  <si>
    <t>27.03.2026</t>
  </si>
  <si>
    <t>27. Furniture a/c</t>
  </si>
  <si>
    <t>28.03.2026</t>
  </si>
  <si>
    <t>28. Bank loan a/c</t>
  </si>
  <si>
    <t>29.03.2026</t>
  </si>
  <si>
    <t>Trial Balance as on 31st March 2026</t>
  </si>
  <si>
    <t>S.no</t>
  </si>
  <si>
    <t>Cash A/C</t>
  </si>
  <si>
    <t xml:space="preserve">         -</t>
  </si>
  <si>
    <t>Bank A/C</t>
  </si>
  <si>
    <t>Purchases A/C</t>
  </si>
  <si>
    <t>Ravi Traders A/C</t>
  </si>
  <si>
    <t>Manoj Stores A/C</t>
  </si>
  <si>
    <t>Sales A/C</t>
  </si>
  <si>
    <t>Carriage Inwards A/C</t>
  </si>
  <si>
    <t>Wages A/C</t>
  </si>
  <si>
    <t>Purchase Return A/C</t>
  </si>
  <si>
    <t>Sales Return A/C</t>
  </si>
  <si>
    <t>Office Equipments A/C</t>
  </si>
  <si>
    <t>Salary A/C</t>
  </si>
  <si>
    <t>Discount Allowed A/C</t>
  </si>
  <si>
    <t>Discount Received A/C</t>
  </si>
  <si>
    <t>Rent A/C</t>
  </si>
  <si>
    <t>Siva Suppliers A/C</t>
  </si>
  <si>
    <t>Deepa Stores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</si>
  <si>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</si>
  <si>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</si>
  <si>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</si>
  <si>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</si>
  <si>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</si>
  <si>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</si>
  <si>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</si>
  <si>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</si>
  <si>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</si>
  <si>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Furniture A/C</t>
  </si>
  <si>
    <t>Bank Loan Interest A/C</t>
  </si>
  <si>
    <t>Machinery A/C</t>
  </si>
  <si>
    <t>Opening Stock A/C</t>
  </si>
  <si>
    <t>Computer A/C</t>
  </si>
  <si>
    <t>Bank Loan A/C</t>
  </si>
  <si>
    <t>Total</t>
  </si>
  <si>
    <t>Trading Account for the Month Ended 31st March 2026</t>
  </si>
  <si>
    <t>Dr.</t>
  </si>
  <si>
    <t>Cr.</t>
  </si>
  <si>
    <t>To Opening Stock</t>
  </si>
  <si>
    <t>By Sales</t>
  </si>
  <si>
    <t>To Purchases A/C</t>
  </si>
  <si>
    <r>
      <t>Less :</t>
    </r>
    <r>
      <rPr>
        <sz val="12"/>
        <color rgb="FF000000"/>
        <rFont val="Times New Roman"/>
      </rPr>
      <t xml:space="preserve"> Sales Return</t>
    </r>
  </si>
  <si>
    <r>
      <t>Less :</t>
    </r>
    <r>
      <rPr>
        <sz val="12"/>
        <color rgb="FF000000"/>
        <rFont val="Times New Roman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</si>
  <si>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</si>
  <si>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</si>
  <si>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</si>
  <si>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</si>
  <si>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</si>
  <si>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31st March 2026</t>
  </si>
  <si>
    <t>To Salary A/C</t>
  </si>
  <si>
    <t>By Gross Profit b/d</t>
  </si>
  <si>
    <r>
      <t>Add :</t>
    </r>
    <r>
      <rPr>
        <sz val="12"/>
        <color rgb="FF000000"/>
        <rFont val="Times New Roman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</si>
  <si>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</si>
  <si>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</si>
  <si>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</si>
  <si>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</si>
  <si>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</si>
  <si>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</si>
  <si>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</si>
  <si>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t xml:space="preserve">Less : </t>
    </r>
    <r>
      <rPr>
        <sz val="12"/>
        <color rgb="FF000000"/>
        <rFont val="Times New Roman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</si>
  <si>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</si>
  <si>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</si>
  <si>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</si>
  <si>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</si>
  <si>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t>Add :</t>
    </r>
    <r>
      <rPr>
        <sz val="12"/>
        <color rgb="FF000000"/>
        <rFont val="Times New Roman"/>
      </rPr>
      <t xml:space="preserve"> Accrued Interest on Bank Loan</t>
    </r>
  </si>
  <si>
    <t>To Depreciation on Machinery</t>
  </si>
  <si>
    <t>To Depreciation on Furniture</t>
  </si>
  <si>
    <t>To Depreciation on Office Equipments</t>
  </si>
  <si>
    <t>To Depreciation on Computer</t>
  </si>
  <si>
    <t xml:space="preserve">To Net Profit </t>
  </si>
  <si>
    <t>Balance Sheet as on 31st March 2026</t>
  </si>
  <si>
    <t>Liabilities</t>
  </si>
  <si>
    <t>Assets</t>
  </si>
  <si>
    <t>Current Assets :</t>
  </si>
  <si>
    <r>
      <t xml:space="preserve">Add : </t>
    </r>
    <r>
      <rPr>
        <sz val="12"/>
        <color rgb="FF000000"/>
        <rFont val="Times New Roman"/>
      </rPr>
      <t>Net Profit</t>
    </r>
  </si>
  <si>
    <t xml:space="preserve">Cash in Hand </t>
  </si>
  <si>
    <r>
      <t>Less :</t>
    </r>
    <r>
      <rPr>
        <sz val="12"/>
        <color rgb="FF000000"/>
        <rFont val="Times New Roman"/>
      </rPr>
      <t xml:space="preserve"> Drawings</t>
    </r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</si>
  <si>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</si>
  <si>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</si>
  <si>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</si>
  <si>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</si>
  <si>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</si>
  <si>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</si>
  <si>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</si>
  <si>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</si>
  <si>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</si>
  <si>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</si>
  <si>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r>
      <t xml:space="preserve">Less : </t>
    </r>
    <r>
      <rPr>
        <sz val="12"/>
        <color rgb="FF000000"/>
        <rFont val="Times New Roman"/>
      </rPr>
      <t>Depreciation</t>
    </r>
  </si>
  <si>
    <t>Accrued Interest on Bank Loan</t>
  </si>
  <si>
    <t>Office Equipments</t>
  </si>
  <si>
    <t>Ratio Analysis</t>
  </si>
  <si>
    <t>Interpretation</t>
  </si>
  <si>
    <t>Calculation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</si>
  <si>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</si>
  <si>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</si>
  <si>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</si>
  <si>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</si>
  <si>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</si>
  <si>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r>
      <t xml:space="preserve">The firm has </t>
    </r>
    <r>
      <rPr>
        <b/>
        <sz val="12"/>
        <color rgb="FF000000"/>
        <rFont val="Times New Roman"/>
      </rPr>
      <t>₹ 2.3</t>
    </r>
    <r>
      <rPr>
        <sz val="12"/>
        <color rgb="FF000000"/>
        <rFont val="Times New Roman"/>
      </rPr>
      <t xml:space="preserve"> of current assets for every ₹1 of Current Liabilities.</t>
    </r>
  </si>
  <si>
    <t>Cash + Bank + Closing Stock + debtors + Prepaid Insurance</t>
  </si>
  <si>
    <t>Current Liabilities</t>
  </si>
  <si>
    <t>This indicates that the firm can easily meet its short-term obligations.</t>
  </si>
  <si>
    <t>Creditors + Outstanding Expenses + Accrued Expenses</t>
  </si>
  <si>
    <t>Current Ratio</t>
  </si>
  <si>
    <t>A very high current ratio may mean that some current assets are not being used efficiently.</t>
  </si>
  <si>
    <t>3,49,500 / 1,51,000</t>
  </si>
  <si>
    <t>2. Quick Ratio</t>
  </si>
  <si>
    <t>(Current Assets - Inventory - Prepaid Expenses) / Current Liabilities</t>
  </si>
  <si>
    <t>Ideal ratio is 1:1</t>
  </si>
  <si>
    <t>Quick Assets</t>
  </si>
  <si>
    <r>
      <t xml:space="preserve">The firm has </t>
    </r>
    <r>
      <rPr>
        <b/>
        <sz val="12"/>
        <color rgb="FF000000"/>
        <rFont val="Times New Roman"/>
      </rPr>
      <t>₹ 1.6</t>
    </r>
    <r>
      <rPr>
        <sz val="12"/>
        <color rgb="FF000000"/>
        <rFont val="Times New Roman"/>
      </rPr>
      <t xml:space="preserve"> of Liquid assets for every ₹ 1 of Current Liabilities.</t>
    </r>
  </si>
  <si>
    <t>Current Assets - Inventory - Prepaid Expenses</t>
  </si>
  <si>
    <t>This indicates that the firm can comfortably meet its immediate liabilities.</t>
  </si>
  <si>
    <t>Quick Ratio</t>
  </si>
  <si>
    <t>A very high quick ratio may indicate that more liquid assets are being held than necessary.</t>
  </si>
  <si>
    <t>2,38,000 / 1,51,000</t>
  </si>
  <si>
    <t>3. Cash Ratio</t>
  </si>
  <si>
    <t>(Cash + Cash Equivalents) / Current Liabilities</t>
  </si>
  <si>
    <t>Ideal ratio is 0.5:1</t>
  </si>
  <si>
    <r>
      <t xml:space="preserve">The firm has </t>
    </r>
    <r>
      <rPr>
        <b/>
        <sz val="12"/>
        <color rgb="FF000000"/>
        <rFont val="Times New Roman"/>
      </rPr>
      <t>₹ 1.2</t>
    </r>
    <r>
      <rPr>
        <sz val="12"/>
        <color rgb="FF000000"/>
        <rFont val="Times New Roman"/>
      </rPr>
      <t xml:space="preserve"> of cash and cash equivalents for every ₹1 of current liabilities.</t>
    </r>
  </si>
  <si>
    <t>Cash and Cash Equivalents</t>
  </si>
  <si>
    <t>Comfortably</t>
  </si>
  <si>
    <t xml:space="preserve">Cash + Bank </t>
  </si>
  <si>
    <t>This indicates that the firm has enough cash to meet its immediate obligations.</t>
  </si>
  <si>
    <t>Cash Ratio</t>
  </si>
  <si>
    <t>A very high cash ratio may indicate that excess cash is not being used efficiently.</t>
  </si>
  <si>
    <t>1,79,000 / 1,51,000</t>
  </si>
  <si>
    <t>4. Debt-to-Equity Ratio</t>
  </si>
  <si>
    <t>Total Debt / Shareholders' Equity</t>
  </si>
  <si>
    <t>Total Debt</t>
  </si>
  <si>
    <r>
      <t xml:space="preserve">The firm has </t>
    </r>
    <r>
      <rPr>
        <b/>
        <sz val="12"/>
        <color rgb="FF000000"/>
        <rFont val="Times New Roman"/>
      </rPr>
      <t>₹ 0.53</t>
    </r>
    <r>
      <rPr>
        <sz val="12"/>
        <color rgb="FF000000"/>
        <rFont val="Times New Roman"/>
      </rPr>
      <t xml:space="preserve"> of debt for every ₹ 1 of shareholders equity.</t>
    </r>
  </si>
  <si>
    <t>Current Liabilities + Non - Current Liabilities</t>
  </si>
  <si>
    <t>Shareholders' Equity</t>
  </si>
  <si>
    <t>This indicates a very low level of financial leverage and a strong equity base.</t>
  </si>
  <si>
    <t xml:space="preserve">Capital + Net Profit </t>
  </si>
  <si>
    <t>Debt-to-Equity Ratio</t>
  </si>
  <si>
    <t>This indicates a low dependence on debt and a strong equity base.</t>
  </si>
  <si>
    <t>2,51,000 / 4,70,729</t>
  </si>
  <si>
    <t>5. Debt-to-Asset Ratio</t>
  </si>
  <si>
    <t>Total Debt / Total Assets</t>
  </si>
  <si>
    <t>Ideal ratio is &lt; 50 %</t>
  </si>
  <si>
    <r>
      <t xml:space="preserve">The firm has </t>
    </r>
    <r>
      <rPr>
        <b/>
        <sz val="12"/>
        <color rgb="FF000000"/>
        <rFont val="Times New Roman"/>
      </rPr>
      <t>₹ 0.35</t>
    </r>
    <r>
      <rPr>
        <sz val="12"/>
        <color rgb="FF000000"/>
        <rFont val="Times New Roman"/>
      </rPr>
      <t xml:space="preserve"> of debt for every ₹ 1 invested in total assets.</t>
    </r>
  </si>
  <si>
    <t>The firm finances 35% of its assets through debt.</t>
  </si>
  <si>
    <t>Total Assets</t>
  </si>
  <si>
    <t>Indicates strong financial stability and a low level of financial risk.</t>
  </si>
  <si>
    <t>Balance Sheet Tally</t>
  </si>
  <si>
    <t>Debt-to-Assets Ratio</t>
  </si>
  <si>
    <t>The company depends more on equity than debt, This indicates a lower level of debt financing.</t>
  </si>
  <si>
    <t>2,51,000 / 7,21,729</t>
  </si>
  <si>
    <t>6. Asset Turnover Ratio</t>
  </si>
  <si>
    <t>Net Sales / Total Assets</t>
  </si>
  <si>
    <t>Ideal ratio is &gt; 2 times</t>
  </si>
  <si>
    <t>Net Sales</t>
  </si>
  <si>
    <r>
      <t xml:space="preserve">The firm generates only </t>
    </r>
    <r>
      <rPr>
        <b/>
        <sz val="12"/>
        <color rgb="FF000000"/>
        <rFont val="Times New Roman"/>
      </rPr>
      <t>₹ 0.48</t>
    </r>
    <r>
      <rPr>
        <sz val="12"/>
        <color rgb="FF000000"/>
        <rFont val="Times New Roman"/>
      </rPr>
      <t xml:space="preserve"> of net sales for every ₹ 1 invested in total assets.</t>
    </r>
  </si>
  <si>
    <t>Sales - Sales Return</t>
  </si>
  <si>
    <t>This indicates the business generates sales equal to 48% of its total assets.</t>
  </si>
  <si>
    <t>Assets Turnover Ratio</t>
  </si>
  <si>
    <t>The company is not using its assets efficiently to generate sales.</t>
  </si>
  <si>
    <t>3,45,000 / 7,21,729</t>
  </si>
  <si>
    <t>7. Working Capital Turnover Ratio</t>
  </si>
  <si>
    <t>Net Sales / Working Capital</t>
  </si>
  <si>
    <t>Ideal Ratio is &gt; 5 times.</t>
  </si>
  <si>
    <r>
      <t xml:space="preserve">The firm generates only </t>
    </r>
    <r>
      <rPr>
        <b/>
        <sz val="12"/>
        <color rgb="FF000000"/>
        <rFont val="Times New Roman"/>
      </rPr>
      <t xml:space="preserve">₹ 1.74 </t>
    </r>
    <r>
      <rPr>
        <sz val="12"/>
        <color rgb="FF000000"/>
        <rFont val="Times New Roman"/>
      </rPr>
      <t>of net sales for every ₹ 1 of working capital.</t>
    </r>
  </si>
  <si>
    <t>Working Capital</t>
  </si>
  <si>
    <t>This indicates the business generates sales equal to 174% of its working capital.</t>
  </si>
  <si>
    <t>Current Assets - Current Liabilities</t>
  </si>
  <si>
    <t>Working Capital turnover Ratio</t>
  </si>
  <si>
    <t>Working capital is not being used effectively to increase sales.</t>
  </si>
  <si>
    <t>3,45,000 / 1,98,500</t>
  </si>
  <si>
    <t>8.  Inventory Turnover Ratio</t>
  </si>
  <si>
    <t>Cost of goods sold / Average Inventory</t>
  </si>
  <si>
    <t xml:space="preserve">Ideal ratio is &gt; 5times </t>
  </si>
  <si>
    <t>Cost of Goods sold</t>
  </si>
  <si>
    <r>
      <t xml:space="preserve">The firm turns over its inventory </t>
    </r>
    <r>
      <rPr>
        <b/>
        <sz val="12"/>
        <color rgb="FF000000"/>
        <rFont val="Times New Roman"/>
      </rPr>
      <t>₹ 2.5</t>
    </r>
    <r>
      <rPr>
        <sz val="12"/>
        <color rgb="FF000000"/>
        <rFont val="Times New Roman"/>
      </rPr>
      <t xml:space="preserve"> times during the Period. This indicates slow Inventory</t>
    </r>
  </si>
  <si>
    <t>Opening Stock + Purchases + Direct Expenses - Closing Stock</t>
  </si>
  <si>
    <t>Average inventory</t>
  </si>
  <si>
    <t>This indicates that inventory is moving relatively slowly.</t>
  </si>
  <si>
    <t>Opening Stock + Closing Stock / 2</t>
  </si>
  <si>
    <t>Inventory Turnover Ratio</t>
  </si>
  <si>
    <t>Slow inventory movement may increase storage costs and the risk of old stock.</t>
  </si>
  <si>
    <t>2,47,500 / 1,00,000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</si>
</sst>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</font>
    <font>
      <b/>
      <sz val="14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3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0" xfId="0" applyFont="1"/>
    <xf numFmtId="3" fontId="3" fillId="0" borderId="1" xfId="0" applyNumberFormat="1" applyFont="1" applyBorder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top"/>
    </xf>
    <xf numFmtId="0" fontId="4" fillId="0" borderId="4" xfId="0" applyFont="1" applyFill="1" applyBorder="1" applyAlignment="1">
      <alignment horizontal="center"/>
    </xf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3" fontId="7" fillId="0" borderId="6" xfId="0" applyNumberFormat="1" applyFont="1" applyFill="1" applyBorder="1" applyAlignment="1"/>
    <xf numFmtId="3" fontId="7" fillId="0" borderId="7" xfId="0" applyNumberFormat="1" applyFont="1" applyFill="1" applyBorder="1" applyAlignment="1"/>
    <xf numFmtId="0" fontId="7" fillId="0" borderId="8" xfId="0" applyFont="1" applyFill="1" applyBorder="1" applyAlignment="1"/>
    <xf numFmtId="0" fontId="7" fillId="0" borderId="9" xfId="0" applyFont="1" applyFill="1" applyBorder="1" applyAlignment="1"/>
    <xf numFmtId="3" fontId="7" fillId="0" borderId="9" xfId="0" applyNumberFormat="1" applyFont="1" applyFill="1" applyBorder="1" applyAlignment="1"/>
    <xf numFmtId="0" fontId="7" fillId="0" borderId="10" xfId="0" applyFont="1" applyFill="1" applyBorder="1" applyAlignment="1"/>
    <xf numFmtId="3" fontId="6" fillId="0" borderId="9" xfId="0" applyNumberFormat="1" applyFont="1" applyFill="1" applyBorder="1" applyAlignment="1"/>
    <xf numFmtId="3" fontId="6" fillId="0" borderId="10" xfId="0" applyNumberFormat="1" applyFont="1" applyFill="1" applyBorder="1" applyAlignment="1"/>
    <xf numFmtId="0" fontId="7" fillId="0" borderId="11" xfId="0" applyFont="1" applyFill="1" applyBorder="1" applyAlignment="1"/>
    <xf numFmtId="0" fontId="7" fillId="0" borderId="12" xfId="0" applyFont="1" applyFill="1" applyBorder="1" applyAlignment="1"/>
    <xf numFmtId="3" fontId="6" fillId="0" borderId="12" xfId="0" applyNumberFormat="1" applyFont="1" applyFill="1" applyBorder="1" applyAlignment="1"/>
    <xf numFmtId="0" fontId="7" fillId="0" borderId="13" xfId="0" applyFont="1" applyFill="1" applyBorder="1" applyAlignment="1"/>
    <xf numFmtId="3" fontId="7" fillId="0" borderId="10" xfId="0" applyNumberFormat="1" applyFont="1" applyFill="1" applyBorder="1" applyAlignment="1"/>
    <xf numFmtId="3" fontId="7" fillId="0" borderId="13" xfId="0" applyNumberFormat="1" applyFont="1" applyFill="1" applyBorder="1" applyAlignment="1"/>
    <xf numFmtId="3" fontId="7" fillId="0" borderId="12" xfId="0" applyNumberFormat="1" applyFon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/>
    <xf numFmtId="0" fontId="5" fillId="0" borderId="25" xfId="0" applyFont="1" applyFill="1" applyBorder="1" applyAlignment="1"/>
    <xf numFmtId="0" fontId="5" fillId="0" borderId="26" xfId="0" applyFont="1" applyFill="1" applyBorder="1" applyAlignment="1"/>
    <xf numFmtId="0" fontId="5" fillId="0" borderId="15" xfId="0" applyFont="1" applyFill="1" applyBorder="1" applyAlignment="1"/>
    <xf numFmtId="3" fontId="4" fillId="0" borderId="26" xfId="0" applyNumberFormat="1" applyFont="1" applyFill="1" applyBorder="1" applyAlignment="1"/>
    <xf numFmtId="3" fontId="4" fillId="0" borderId="13" xfId="0" applyNumberFormat="1" applyFont="1" applyFill="1" applyBorder="1" applyAlignment="1"/>
    <xf numFmtId="0" fontId="4" fillId="0" borderId="16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7" fillId="0" borderId="18" xfId="0" applyFont="1" applyFill="1" applyBorder="1" applyAlignment="1"/>
    <xf numFmtId="0" fontId="7" fillId="0" borderId="19" xfId="0" applyFont="1" applyFill="1" applyBorder="1" applyAlignment="1"/>
    <xf numFmtId="3" fontId="7" fillId="0" borderId="20" xfId="0" applyNumberFormat="1" applyFont="1" applyFill="1" applyBorder="1" applyAlignment="1"/>
    <xf numFmtId="0" fontId="7" fillId="0" borderId="21" xfId="0" applyFont="1" applyFill="1" applyBorder="1" applyAlignment="1"/>
    <xf numFmtId="0" fontId="7" fillId="0" borderId="22" xfId="0" applyFont="1" applyFill="1" applyBorder="1" applyAlignment="1"/>
    <xf numFmtId="3" fontId="7" fillId="0" borderId="23" xfId="0" applyNumberFormat="1" applyFont="1" applyFill="1" applyBorder="1" applyAlignment="1"/>
    <xf numFmtId="0" fontId="7" fillId="0" borderId="23" xfId="0" applyFont="1" applyFill="1" applyBorder="1" applyAlignment="1"/>
    <xf numFmtId="3" fontId="7" fillId="0" borderId="22" xfId="0" applyNumberFormat="1" applyFont="1" applyFill="1" applyBorder="1" applyAlignment="1"/>
    <xf numFmtId="3" fontId="7" fillId="0" borderId="0" xfId="0" applyNumberFormat="1" applyFont="1" applyFill="1" applyBorder="1" applyAlignment="1"/>
    <xf numFmtId="0" fontId="7" fillId="0" borderId="24" xfId="0" applyFont="1" applyFill="1" applyBorder="1" applyAlignment="1"/>
    <xf numFmtId="0" fontId="9" fillId="0" borderId="0" xfId="0" applyFont="1" applyFill="1" applyBorder="1" applyAlignment="1"/>
    <xf numFmtId="0" fontId="4" fillId="0" borderId="27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10" fillId="0" borderId="30" xfId="0" applyFont="1" applyFill="1" applyBorder="1" applyAlignment="1"/>
    <xf numFmtId="0" fontId="7" fillId="0" borderId="29" xfId="0" applyFont="1" applyFill="1" applyBorder="1" applyAlignment="1"/>
    <xf numFmtId="3" fontId="7" fillId="0" borderId="30" xfId="0" applyNumberFormat="1" applyFont="1" applyFill="1" applyBorder="1" applyAlignment="1"/>
    <xf numFmtId="0" fontId="7" fillId="0" borderId="30" xfId="0" applyFont="1" applyFill="1" applyBorder="1" applyAlignment="1"/>
    <xf numFmtId="0" fontId="6" fillId="0" borderId="29" xfId="0" applyFont="1" applyFill="1" applyBorder="1" applyAlignment="1"/>
    <xf numFmtId="3" fontId="7" fillId="0" borderId="31" xfId="0" applyNumberFormat="1" applyFont="1" applyFill="1" applyBorder="1" applyAlignment="1"/>
    <xf numFmtId="3" fontId="6" fillId="0" borderId="30" xfId="0" applyNumberFormat="1" applyFont="1" applyFill="1" applyBorder="1" applyAlignment="1"/>
    <xf numFmtId="0" fontId="6" fillId="0" borderId="30" xfId="0" applyFont="1" applyFill="1" applyBorder="1" applyAlignment="1"/>
    <xf numFmtId="0" fontId="7" fillId="0" borderId="31" xfId="0" applyFont="1" applyFill="1" applyBorder="1" applyAlignment="1"/>
    <xf numFmtId="0" fontId="6" fillId="3" borderId="33" xfId="0" applyFont="1" applyFill="1" applyBorder="1" applyAlignment="1">
      <alignment wrapText="1"/>
    </xf>
    <xf numFmtId="0" fontId="7" fillId="3" borderId="32" xfId="0" applyFont="1" applyFill="1" applyBorder="1" applyAlignment="1">
      <alignment wrapText="1"/>
    </xf>
    <xf numFmtId="0" fontId="7" fillId="3" borderId="33" xfId="0" applyFont="1" applyFill="1" applyBorder="1" applyAlignment="1">
      <alignment wrapText="1"/>
    </xf>
    <xf numFmtId="3" fontId="7" fillId="3" borderId="32" xfId="0" applyNumberFormat="1" applyFont="1" applyFill="1" applyBorder="1" applyAlignment="1">
      <alignment wrapText="1"/>
    </xf>
    <xf numFmtId="0" fontId="7" fillId="3" borderId="32" xfId="0" applyFont="1" applyFill="1" applyBorder="1" applyAlignment="1"/>
    <xf numFmtId="0" fontId="7" fillId="3" borderId="26" xfId="0" applyFont="1" applyFill="1" applyBorder="1" applyAlignment="1">
      <alignment wrapText="1"/>
    </xf>
    <xf numFmtId="2" fontId="6" fillId="3" borderId="13" xfId="0" applyNumberFormat="1" applyFont="1" applyFill="1" applyBorder="1" applyAlignment="1">
      <alignment wrapText="1"/>
    </xf>
    <xf numFmtId="0" fontId="7" fillId="3" borderId="13" xfId="0" applyFont="1" applyFill="1" applyBorder="1" applyAlignment="1"/>
    <xf numFmtId="164" fontId="6" fillId="3" borderId="13" xfId="0" applyNumberFormat="1" applyFont="1" applyFill="1" applyBorder="1" applyAlignment="1">
      <alignment wrapText="1"/>
    </xf>
    <xf numFmtId="0" fontId="7" fillId="3" borderId="13" xfId="0" applyFont="1" applyFill="1" applyBorder="1" applyAlignment="1">
      <alignment wrapText="1"/>
    </xf>
    <xf numFmtId="0" fontId="7" fillId="3" borderId="0" xfId="0" applyFont="1" applyFill="1" applyBorder="1" applyAlignment="1">
      <alignment wrapText="1"/>
    </xf>
    <xf numFmtId="0" fontId="7" fillId="3" borderId="33" xfId="0" applyFont="1" applyFill="1" applyBorder="1" applyAlignment="1"/>
    <xf numFmtId="3" fontId="7" fillId="3" borderId="0" xfId="0" applyNumberFormat="1" applyFont="1" applyFill="1" applyBorder="1" applyAlignment="1">
      <alignment wrapText="1"/>
    </xf>
    <xf numFmtId="164" fontId="6" fillId="3" borderId="15" xfId="0" applyNumberFormat="1" applyFont="1" applyFill="1" applyBorder="1" applyAlignment="1">
      <alignment wrapText="1"/>
    </xf>
    <xf numFmtId="0" fontId="6" fillId="3" borderId="17" xfId="0" applyFont="1" applyFill="1" applyBorder="1" applyAlignment="1">
      <alignment wrapText="1"/>
    </xf>
    <xf numFmtId="2" fontId="6" fillId="3" borderId="32" xfId="0" applyNumberFormat="1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6" fillId="3" borderId="33" xfId="0" applyFont="1" applyFill="1" applyBorder="1" applyAlignment="1"/>
    <xf numFmtId="3" fontId="7" fillId="3" borderId="32" xfId="0" applyNumberFormat="1" applyFont="1" applyFill="1" applyBorder="1" applyAlignment="1"/>
    <xf numFmtId="0" fontId="7" fillId="3" borderId="38" xfId="0" applyFont="1" applyFill="1" applyBorder="1" applyAlignment="1"/>
    <xf numFmtId="0" fontId="7" fillId="3" borderId="26" xfId="0" applyFont="1" applyFill="1" applyBorder="1" applyAlignment="1"/>
    <xf numFmtId="164" fontId="6" fillId="3" borderId="13" xfId="0" applyNumberFormat="1" applyFont="1" applyFill="1" applyBorder="1" applyAlignment="1"/>
    <xf numFmtId="0" fontId="10" fillId="0" borderId="0" xfId="0" applyFont="1" applyFill="1" applyBorder="1" applyAlignment="1"/>
    <xf numFmtId="0" fontId="4" fillId="0" borderId="34" xfId="0" applyFont="1" applyFill="1" applyBorder="1" applyAlignment="1">
      <alignment wrapText="1"/>
    </xf>
    <xf numFmtId="0" fontId="10" fillId="0" borderId="28" xfId="0" applyFont="1" applyFill="1" applyBorder="1" applyAlignment="1"/>
    <xf numFmtId="0" fontId="7" fillId="0" borderId="35" xfId="0" applyFont="1" applyFill="1" applyBorder="1" applyAlignment="1">
      <alignment wrapText="1"/>
    </xf>
    <xf numFmtId="0" fontId="7" fillId="0" borderId="36" xfId="0" applyFont="1" applyFill="1" applyBorder="1" applyAlignment="1"/>
    <xf numFmtId="0" fontId="7" fillId="0" borderId="36" xfId="0" applyFont="1" applyFill="1" applyBorder="1" applyAlignment="1">
      <alignment wrapText="1"/>
    </xf>
    <xf numFmtId="0" fontId="7" fillId="0" borderId="37" xfId="0" applyFont="1" applyFill="1" applyBorder="1" applyAlignment="1">
      <alignment wrapText="1"/>
    </xf>
    <xf numFmtId="0" fontId="7" fillId="0" borderId="30" xfId="0" applyFont="1" applyFill="1" applyBorder="1" applyAlignment="1">
      <alignment wrapText="1"/>
    </xf>
    <xf numFmtId="0" fontId="4" fillId="0" borderId="37" xfId="0" applyFont="1" applyFill="1" applyBorder="1" applyAlignment="1">
      <alignment wrapText="1"/>
    </xf>
    <xf numFmtId="0" fontId="4" fillId="0" borderId="37" xfId="0" applyFont="1" applyFill="1" applyBorder="1" applyAlignment="1"/>
    <xf numFmtId="0" fontId="7" fillId="0" borderId="35" xfId="0" applyFont="1" applyFill="1" applyBorder="1" applyAlignment="1"/>
    <xf numFmtId="0" fontId="7" fillId="0" borderId="37" xfId="0" applyFont="1" applyFill="1" applyBorder="1" applyAlignment="1"/>
    <xf numFmtId="0" fontId="8" fillId="3" borderId="36" xfId="0" applyFont="1" applyFill="1" applyBorder="1" applyAlignment="1">
      <alignment wrapText="1"/>
    </xf>
    <xf numFmtId="0" fontId="8" fillId="3" borderId="36" xfId="0" applyFont="1" applyFill="1" applyBorder="1"/>
    <xf numFmtId="0" fontId="8" fillId="3" borderId="39" xfId="0" applyFont="1" applyFill="1" applyBorder="1" applyAlignment="1">
      <alignment wrapText="1"/>
    </xf>
    <xf numFmtId="0" fontId="4" fillId="2" borderId="16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/>
    <xf numFmtId="0" fontId="11" fillId="2" borderId="25" xfId="0" applyFont="1" applyFill="1" applyBorder="1" applyAlignment="1">
      <alignment horizontal="center" wrapText="1"/>
    </xf>
    <xf numFmtId="0" fontId="11" fillId="2" borderId="1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15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25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workbookViewId="0">
      <selection activeCell="A57" sqref="A57"/>
    </sheetView>
  </sheetViews>
  <sheetFormatPr defaultRowHeight="15.75"/>
  <cols>
    <col min="1" max="1" width="26.28515625" style="1" customWidth="1"/>
    <col min="2" max="2" width="10.28515625" style="1" customWidth="1"/>
    <col min="3" max="16384" width="9.140625" style="1"/>
  </cols>
  <sheetData>
    <row r="1" spans="1:2">
      <c r="A1" s="1" t="s">
        <v>0</v>
      </c>
    </row>
    <row r="3" spans="1:2">
      <c r="A3" s="1" t="s">
        <v>1</v>
      </c>
    </row>
    <row r="5" spans="1:2">
      <c r="A5" s="1" t="s">
        <v>2</v>
      </c>
    </row>
    <row r="6" spans="1:2">
      <c r="A6" s="1" t="s">
        <v>3</v>
      </c>
    </row>
    <row r="7" spans="1:2">
      <c r="A7" s="1" t="s">
        <v>4</v>
      </c>
    </row>
    <row r="8" spans="1:2">
      <c r="A8" s="1" t="s">
        <v>5</v>
      </c>
    </row>
    <row r="9" spans="1:2">
      <c r="A9" s="1" t="s">
        <v>6</v>
      </c>
    </row>
    <row r="10" spans="1:2">
      <c r="A10" s="1" t="s">
        <v>7</v>
      </c>
    </row>
    <row r="12" spans="1:2">
      <c r="A12" s="1" t="s">
        <v>8</v>
      </c>
    </row>
    <row r="13" spans="1:2">
      <c r="A13" s="2" t="s">
        <v>9</v>
      </c>
      <c r="B13" s="2" t="s">
        <v>10</v>
      </c>
    </row>
    <row r="14" spans="1:2">
      <c r="A14" s="2" t="s">
        <v>11</v>
      </c>
      <c r="B14" s="3">
        <v>45000</v>
      </c>
    </row>
    <row r="15" spans="1:2">
      <c r="A15" s="2" t="s">
        <v>12</v>
      </c>
      <c r="B15" s="3">
        <v>120000</v>
      </c>
    </row>
    <row r="16" spans="1:2">
      <c r="A16" s="2" t="s">
        <v>13</v>
      </c>
      <c r="B16" s="3">
        <v>90000</v>
      </c>
    </row>
    <row r="17" spans="1:2">
      <c r="A17" s="2" t="s">
        <v>14</v>
      </c>
      <c r="B17" s="3">
        <v>60000</v>
      </c>
    </row>
    <row r="18" spans="1:2">
      <c r="A18" s="2" t="s">
        <v>15</v>
      </c>
      <c r="B18" s="3">
        <v>200000</v>
      </c>
    </row>
    <row r="19" spans="1:2">
      <c r="A19" s="2" t="s">
        <v>16</v>
      </c>
      <c r="B19" s="3">
        <v>40000</v>
      </c>
    </row>
    <row r="20" spans="1:2">
      <c r="A20" s="2" t="s">
        <v>17</v>
      </c>
      <c r="B20" s="3">
        <v>70000</v>
      </c>
    </row>
    <row r="21" spans="1:2">
      <c r="A21" s="2" t="s">
        <v>18</v>
      </c>
      <c r="B21" s="3">
        <v>45000</v>
      </c>
    </row>
    <row r="22" spans="1:2">
      <c r="A22" s="2" t="s">
        <v>19</v>
      </c>
      <c r="B22" s="3">
        <v>80000</v>
      </c>
    </row>
    <row r="23" spans="1:2">
      <c r="A23" s="2" t="s">
        <v>20</v>
      </c>
      <c r="B23" s="3">
        <v>40000</v>
      </c>
    </row>
    <row r="24" spans="1:2">
      <c r="A24" s="2" t="s">
        <v>21</v>
      </c>
      <c r="B24" s="3">
        <v>450000</v>
      </c>
    </row>
    <row r="25" spans="1:2">
      <c r="A25" s="2" t="s">
        <v>22</v>
      </c>
      <c r="B25" s="3">
        <v>100000</v>
      </c>
    </row>
    <row r="27" spans="1:2">
      <c r="A27" s="1" t="s">
        <v>23</v>
      </c>
    </row>
    <row r="28" spans="1:2">
      <c r="A28" s="1" t="s">
        <v>24</v>
      </c>
      <c r="B28" s="1" t="s">
        <v>25</v>
      </c>
    </row>
    <row r="29" spans="1:2">
      <c r="A29" s="1" t="s">
        <v>26</v>
      </c>
      <c r="B29" s="1" t="s">
        <v>27</v>
      </c>
    </row>
    <row r="30" spans="1:2">
      <c r="A30" s="1" t="s">
        <v>28</v>
      </c>
      <c r="B30" s="1" t="s">
        <v>29</v>
      </c>
    </row>
    <row r="31" spans="1:2">
      <c r="A31" s="1" t="s">
        <v>30</v>
      </c>
      <c r="B31" s="1" t="s">
        <v>31</v>
      </c>
    </row>
    <row r="32" spans="1:2">
      <c r="A32" s="1" t="s">
        <v>32</v>
      </c>
      <c r="B32" s="1" t="s">
        <v>33</v>
      </c>
    </row>
    <row r="33" spans="1:2">
      <c r="A33" s="1" t="s">
        <v>34</v>
      </c>
      <c r="B33" s="1" t="s">
        <v>35</v>
      </c>
    </row>
    <row r="34" spans="1:2">
      <c r="A34" s="1" t="s">
        <v>36</v>
      </c>
      <c r="B34" s="1" t="s">
        <v>37</v>
      </c>
    </row>
    <row r="35" spans="1:2">
      <c r="A35" s="1" t="s">
        <v>38</v>
      </c>
      <c r="B35" s="1" t="s">
        <v>39</v>
      </c>
    </row>
    <row r="36" spans="1:2">
      <c r="A36" s="1" t="s">
        <v>40</v>
      </c>
      <c r="B36" s="1" t="s">
        <v>41</v>
      </c>
    </row>
    <row r="37" spans="1:2">
      <c r="A37" s="1" t="s">
        <v>42</v>
      </c>
      <c r="B37" s="1" t="s">
        <v>43</v>
      </c>
    </row>
    <row r="38" spans="1:2">
      <c r="A38" s="1" t="s">
        <v>44</v>
      </c>
      <c r="B38" s="1" t="s">
        <v>45</v>
      </c>
    </row>
    <row r="39" spans="1:2">
      <c r="A39" s="1" t="s">
        <v>46</v>
      </c>
      <c r="B39" s="1" t="s">
        <v>47</v>
      </c>
    </row>
    <row r="40" spans="1:2">
      <c r="A40" s="1" t="s">
        <v>48</v>
      </c>
      <c r="B40" s="1" t="s">
        <v>49</v>
      </c>
    </row>
    <row r="41" spans="1:2">
      <c r="A41" s="1" t="s">
        <v>50</v>
      </c>
      <c r="B41" s="1" t="s">
        <v>51</v>
      </c>
    </row>
    <row r="42" spans="1:2">
      <c r="A42" s="1" t="s">
        <v>52</v>
      </c>
      <c r="B42" s="1" t="s">
        <v>53</v>
      </c>
    </row>
    <row r="43" spans="1:2">
      <c r="A43" s="1" t="s">
        <v>54</v>
      </c>
      <c r="B43" s="1" t="s">
        <v>55</v>
      </c>
    </row>
    <row r="44" spans="1:2">
      <c r="A44" s="1" t="s">
        <v>56</v>
      </c>
      <c r="B44" s="1" t="s">
        <v>57</v>
      </c>
    </row>
    <row r="45" spans="1:2">
      <c r="A45" s="1" t="s">
        <v>58</v>
      </c>
      <c r="B45" s="1" t="s">
        <v>59</v>
      </c>
    </row>
    <row r="46" spans="1:2">
      <c r="A46" s="1" t="s">
        <v>60</v>
      </c>
      <c r="B46" s="1" t="s">
        <v>61</v>
      </c>
    </row>
    <row r="47" spans="1:2">
      <c r="A47" s="1" t="s">
        <v>62</v>
      </c>
      <c r="B47" s="1" t="s">
        <v>63</v>
      </c>
    </row>
    <row r="48" spans="1:2">
      <c r="A48" s="1" t="s">
        <v>64</v>
      </c>
      <c r="B48" s="1" t="s">
        <v>65</v>
      </c>
    </row>
    <row r="49" spans="1:2">
      <c r="A49" s="1" t="s">
        <v>66</v>
      </c>
      <c r="B49" s="1" t="s">
        <v>67</v>
      </c>
    </row>
    <row r="50" spans="1:2">
      <c r="A50" s="1" t="s">
        <v>68</v>
      </c>
      <c r="B50" s="1" t="s">
        <v>69</v>
      </c>
    </row>
    <row r="51" spans="1:2">
      <c r="A51" s="1" t="s">
        <v>70</v>
      </c>
      <c r="B51" s="1" t="s">
        <v>71</v>
      </c>
    </row>
    <row r="52" spans="1:2">
      <c r="A52" s="1" t="s">
        <v>72</v>
      </c>
      <c r="B52" s="1" t="s">
        <v>73</v>
      </c>
    </row>
    <row r="53" spans="1:2">
      <c r="A53" s="1" t="s">
        <v>74</v>
      </c>
      <c r="B53" s="1" t="s">
        <v>75</v>
      </c>
    </row>
    <row r="54" spans="1:2">
      <c r="A54" s="1" t="s">
        <v>76</v>
      </c>
      <c r="B54" s="1" t="s">
        <v>77</v>
      </c>
    </row>
    <row r="55" spans="1:2">
      <c r="A55" s="1" t="s">
        <v>78</v>
      </c>
      <c r="B55" s="1" t="s">
        <v>79</v>
      </c>
    </row>
    <row r="56" spans="1:2">
      <c r="A56" s="1" t="s">
        <v>80</v>
      </c>
      <c r="B56" s="1" t="s">
        <v>81</v>
      </c>
    </row>
    <row r="57" spans="1:2">
      <c r="A57" s="1" t="s">
        <v>82</v>
      </c>
      <c r="B57" s="1" t="s">
        <v>83</v>
      </c>
    </row>
    <row r="59" spans="1:2">
      <c r="A59" s="1" t="s">
        <v>84</v>
      </c>
    </row>
    <row r="60" spans="1:2">
      <c r="A60" s="1" t="s">
        <v>85</v>
      </c>
    </row>
    <row r="61" spans="1:2">
      <c r="A61" s="1" t="s">
        <v>86</v>
      </c>
    </row>
    <row r="62" spans="1:2">
      <c r="A62" s="1" t="s">
        <v>87</v>
      </c>
    </row>
    <row r="63" spans="1:2">
      <c r="A63" s="1" t="s">
        <v>88</v>
      </c>
    </row>
    <row r="64" spans="1:2">
      <c r="A64" s="1" t="s">
        <v>89</v>
      </c>
    </row>
    <row r="65" spans="1:1">
      <c r="A65" s="1" t="s">
        <v>90</v>
      </c>
    </row>
    <row r="66" spans="1:1">
      <c r="A66" s="1" t="s">
        <v>91</v>
      </c>
    </row>
    <row r="67" spans="1:1">
      <c r="A67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D61B-1EFF-45A2-ADD9-516FF307BED4}">
  <dimension ref="A1:J105"/>
  <sheetViews>
    <sheetView topLeftCell="A95" workbookViewId="0">
      <selection activeCell="A104" sqref="A104:XFD104"/>
    </sheetView>
  </sheetViews>
  <sheetFormatPr defaultRowHeight="15.75"/>
  <cols>
    <col min="1" max="1" width="11.140625" style="1" customWidth="1"/>
    <col min="2" max="2" width="54.28515625" style="1" customWidth="1"/>
    <col min="3" max="4" width="4.140625" style="1" customWidth="1"/>
    <col min="5" max="5" width="11.28515625" style="1" customWidth="1"/>
    <col min="6" max="6" width="11.7109375" style="1" customWidth="1"/>
    <col min="7" max="16384" width="9.140625" style="1"/>
  </cols>
  <sheetData>
    <row r="1" spans="1:10" ht="18.75">
      <c r="A1" s="107" t="s">
        <v>93</v>
      </c>
      <c r="B1" s="107"/>
      <c r="C1" s="107"/>
      <c r="D1" s="107"/>
      <c r="E1" s="107"/>
      <c r="F1" s="107"/>
    </row>
    <row r="2" spans="1:10" ht="18.75">
      <c r="A2" s="107" t="s">
        <v>94</v>
      </c>
      <c r="B2" s="107"/>
      <c r="C2" s="107"/>
      <c r="D2" s="107"/>
      <c r="E2" s="107"/>
      <c r="F2" s="107"/>
    </row>
    <row r="3" spans="1:10" ht="18.75">
      <c r="A3" s="5" t="s">
        <v>95</v>
      </c>
      <c r="B3" s="5" t="s">
        <v>9</v>
      </c>
      <c r="C3" s="5"/>
      <c r="D3" s="5" t="s">
        <v>96</v>
      </c>
      <c r="E3" s="5" t="s">
        <v>97</v>
      </c>
      <c r="F3" s="5" t="s">
        <v>98</v>
      </c>
    </row>
    <row r="4" spans="1:10">
      <c r="A4" s="2" t="s">
        <v>99</v>
      </c>
      <c r="B4" s="2" t="s">
        <v>100</v>
      </c>
      <c r="C4" s="2" t="s">
        <v>101</v>
      </c>
      <c r="D4" s="2"/>
      <c r="E4" s="3">
        <v>45000</v>
      </c>
      <c r="F4" s="2"/>
    </row>
    <row r="5" spans="1:10">
      <c r="A5" s="2"/>
      <c r="B5" s="2" t="s">
        <v>102</v>
      </c>
      <c r="C5" s="2" t="s">
        <v>101</v>
      </c>
      <c r="D5" s="2"/>
      <c r="E5" s="3">
        <v>120000</v>
      </c>
      <c r="F5" s="2"/>
    </row>
    <row r="6" spans="1:10">
      <c r="A6" s="2"/>
      <c r="B6" s="2" t="s">
        <v>103</v>
      </c>
      <c r="C6" s="2" t="s">
        <v>101</v>
      </c>
      <c r="D6" s="2"/>
      <c r="E6" s="3">
        <v>90000</v>
      </c>
      <c r="F6" s="2"/>
    </row>
    <row r="7" spans="1:10">
      <c r="A7" s="2"/>
      <c r="B7" s="2" t="s">
        <v>104</v>
      </c>
      <c r="C7" s="2" t="s">
        <v>101</v>
      </c>
      <c r="D7" s="2"/>
      <c r="E7" s="3">
        <v>60000</v>
      </c>
      <c r="F7" s="2"/>
    </row>
    <row r="8" spans="1:10">
      <c r="A8" s="2"/>
      <c r="B8" s="2" t="s">
        <v>105</v>
      </c>
      <c r="C8" s="2" t="s">
        <v>101</v>
      </c>
      <c r="D8" s="2"/>
      <c r="E8" s="3">
        <v>200000</v>
      </c>
      <c r="F8" s="2"/>
    </row>
    <row r="9" spans="1:10">
      <c r="A9" s="2"/>
      <c r="B9" s="2" t="s">
        <v>106</v>
      </c>
      <c r="C9" s="2" t="s">
        <v>101</v>
      </c>
      <c r="D9" s="2"/>
      <c r="E9" s="3">
        <v>40000</v>
      </c>
      <c r="F9" s="2"/>
      <c r="J9" s="4"/>
    </row>
    <row r="10" spans="1:10">
      <c r="A10" s="2"/>
      <c r="B10" s="2" t="s">
        <v>107</v>
      </c>
      <c r="C10" s="2" t="s">
        <v>101</v>
      </c>
      <c r="D10" s="2"/>
      <c r="E10" s="3">
        <v>70000</v>
      </c>
      <c r="F10" s="2"/>
    </row>
    <row r="11" spans="1:10">
      <c r="A11" s="2"/>
      <c r="B11" s="2" t="s">
        <v>108</v>
      </c>
      <c r="C11" s="2" t="s">
        <v>101</v>
      </c>
      <c r="D11" s="2"/>
      <c r="E11" s="3">
        <v>45000</v>
      </c>
      <c r="F11" s="2"/>
    </row>
    <row r="12" spans="1:10">
      <c r="A12" s="2"/>
      <c r="B12" s="2" t="s">
        <v>109</v>
      </c>
      <c r="C12" s="2"/>
      <c r="D12" s="2"/>
      <c r="E12" s="3"/>
      <c r="F12" s="3">
        <v>450000</v>
      </c>
    </row>
    <row r="13" spans="1:10">
      <c r="A13" s="2"/>
      <c r="B13" s="2" t="s">
        <v>110</v>
      </c>
      <c r="C13" s="2"/>
      <c r="D13" s="2"/>
      <c r="E13" s="3"/>
      <c r="F13" s="3">
        <v>80000</v>
      </c>
    </row>
    <row r="14" spans="1:10">
      <c r="A14" s="2"/>
      <c r="B14" s="2" t="s">
        <v>111</v>
      </c>
      <c r="C14" s="2"/>
      <c r="D14" s="2"/>
      <c r="E14" s="2"/>
      <c r="F14" s="3">
        <v>40000</v>
      </c>
    </row>
    <row r="15" spans="1:10">
      <c r="A15" s="2"/>
      <c r="B15" s="2" t="s">
        <v>112</v>
      </c>
      <c r="C15" s="2"/>
      <c r="D15" s="2"/>
      <c r="E15" s="2"/>
      <c r="F15" s="3">
        <v>100000</v>
      </c>
    </row>
    <row r="16" spans="1:10">
      <c r="A16" s="2"/>
      <c r="B16" s="2" t="s">
        <v>113</v>
      </c>
      <c r="C16" s="2"/>
      <c r="D16" s="2"/>
      <c r="E16" s="2"/>
      <c r="F16" s="3"/>
    </row>
    <row r="17" spans="1:6">
      <c r="A17" s="2" t="s">
        <v>114</v>
      </c>
      <c r="B17" s="2" t="s">
        <v>115</v>
      </c>
      <c r="C17" s="2" t="s">
        <v>101</v>
      </c>
      <c r="D17" s="2"/>
      <c r="E17" s="3">
        <v>110000</v>
      </c>
      <c r="F17" s="3"/>
    </row>
    <row r="18" spans="1:6">
      <c r="A18" s="2"/>
      <c r="B18" s="2" t="s">
        <v>110</v>
      </c>
      <c r="C18" s="2"/>
      <c r="D18" s="2"/>
      <c r="E18" s="2"/>
      <c r="F18" s="3">
        <v>110000</v>
      </c>
    </row>
    <row r="19" spans="1:6">
      <c r="A19" s="2"/>
      <c r="B19" s="2" t="s">
        <v>116</v>
      </c>
      <c r="C19" s="2"/>
      <c r="D19" s="2"/>
      <c r="E19" s="2"/>
      <c r="F19" s="2"/>
    </row>
    <row r="20" spans="1:6">
      <c r="A20" s="2" t="s">
        <v>117</v>
      </c>
      <c r="B20" s="2" t="s">
        <v>115</v>
      </c>
      <c r="C20" s="2" t="s">
        <v>101</v>
      </c>
      <c r="D20" s="2"/>
      <c r="E20" s="3">
        <v>35000</v>
      </c>
      <c r="F20" s="2"/>
    </row>
    <row r="21" spans="1:6">
      <c r="A21" s="2"/>
      <c r="B21" s="2" t="s">
        <v>118</v>
      </c>
      <c r="C21" s="2"/>
      <c r="D21" s="2"/>
      <c r="E21" s="2"/>
      <c r="F21" s="3">
        <v>35000</v>
      </c>
    </row>
    <row r="22" spans="1:6">
      <c r="A22" s="2"/>
      <c r="B22" s="2" t="s">
        <v>119</v>
      </c>
      <c r="C22" s="2"/>
      <c r="D22" s="2"/>
      <c r="E22" s="2"/>
      <c r="F22" s="2"/>
    </row>
    <row r="23" spans="1:6">
      <c r="A23" s="2" t="s">
        <v>120</v>
      </c>
      <c r="B23" s="2" t="s">
        <v>107</v>
      </c>
      <c r="C23" s="2" t="s">
        <v>101</v>
      </c>
      <c r="D23" s="2"/>
      <c r="E23" s="3">
        <v>160000</v>
      </c>
      <c r="F23" s="2"/>
    </row>
    <row r="24" spans="1:6">
      <c r="A24" s="2"/>
      <c r="B24" s="2" t="s">
        <v>121</v>
      </c>
      <c r="C24" s="2"/>
      <c r="D24" s="2"/>
      <c r="E24" s="2"/>
      <c r="F24" s="3">
        <v>160000</v>
      </c>
    </row>
    <row r="25" spans="1:6">
      <c r="A25" s="2"/>
      <c r="B25" s="2" t="s">
        <v>122</v>
      </c>
      <c r="C25" s="2"/>
      <c r="D25" s="2"/>
      <c r="E25" s="2"/>
      <c r="F25" s="2"/>
    </row>
    <row r="26" spans="1:6">
      <c r="A26" s="2" t="s">
        <v>123</v>
      </c>
      <c r="B26" s="2" t="s">
        <v>100</v>
      </c>
      <c r="C26" s="2" t="s">
        <v>101</v>
      </c>
      <c r="D26" s="2"/>
      <c r="E26" s="3">
        <v>75000</v>
      </c>
      <c r="F26" s="2"/>
    </row>
    <row r="27" spans="1:6">
      <c r="A27" s="2"/>
      <c r="B27" s="2" t="s">
        <v>121</v>
      </c>
      <c r="C27" s="2"/>
      <c r="D27" s="2"/>
      <c r="E27" s="2"/>
      <c r="F27" s="3">
        <v>75000</v>
      </c>
    </row>
    <row r="28" spans="1:6">
      <c r="A28" s="2"/>
      <c r="B28" s="2" t="s">
        <v>124</v>
      </c>
      <c r="C28" s="2"/>
      <c r="D28" s="2"/>
      <c r="E28" s="2"/>
      <c r="F28" s="2"/>
    </row>
    <row r="29" spans="1:6">
      <c r="A29" s="2" t="s">
        <v>125</v>
      </c>
      <c r="B29" s="2" t="s">
        <v>126</v>
      </c>
      <c r="C29" s="2" t="s">
        <v>101</v>
      </c>
      <c r="D29" s="2"/>
      <c r="E29" s="3">
        <v>4500</v>
      </c>
      <c r="F29" s="2"/>
    </row>
    <row r="30" spans="1:6">
      <c r="A30" s="2"/>
      <c r="B30" s="2" t="s">
        <v>118</v>
      </c>
      <c r="C30" s="2"/>
      <c r="D30" s="2"/>
      <c r="E30" s="2"/>
      <c r="F30" s="3">
        <v>4500</v>
      </c>
    </row>
    <row r="31" spans="1:6">
      <c r="A31" s="2"/>
      <c r="B31" s="2" t="s">
        <v>127</v>
      </c>
      <c r="C31" s="2"/>
      <c r="D31" s="2"/>
      <c r="E31" s="2"/>
      <c r="F31" s="2"/>
    </row>
    <row r="32" spans="1:6">
      <c r="A32" s="2" t="s">
        <v>128</v>
      </c>
      <c r="B32" s="2" t="s">
        <v>129</v>
      </c>
      <c r="C32" s="2" t="s">
        <v>101</v>
      </c>
      <c r="D32" s="2"/>
      <c r="E32" s="3">
        <v>15000</v>
      </c>
      <c r="F32" s="2"/>
    </row>
    <row r="33" spans="1:6">
      <c r="A33" s="2"/>
      <c r="B33" s="2" t="s">
        <v>118</v>
      </c>
      <c r="C33" s="2"/>
      <c r="D33" s="2"/>
      <c r="E33" s="2"/>
      <c r="F33" s="3">
        <v>15000</v>
      </c>
    </row>
    <row r="34" spans="1:6">
      <c r="A34" s="2"/>
      <c r="B34" s="2" t="s">
        <v>130</v>
      </c>
      <c r="C34" s="2"/>
      <c r="D34" s="2"/>
      <c r="E34" s="2"/>
      <c r="F34" s="2"/>
    </row>
    <row r="35" spans="1:6">
      <c r="A35" s="2" t="s">
        <v>131</v>
      </c>
      <c r="B35" s="2" t="s">
        <v>132</v>
      </c>
      <c r="C35" s="2" t="s">
        <v>101</v>
      </c>
      <c r="D35" s="2"/>
      <c r="E35" s="3">
        <v>12000</v>
      </c>
      <c r="F35" s="2"/>
    </row>
    <row r="36" spans="1:6">
      <c r="A36" s="2"/>
      <c r="B36" s="2" t="s">
        <v>133</v>
      </c>
      <c r="C36" s="2"/>
      <c r="D36" s="2"/>
      <c r="E36" s="2"/>
      <c r="F36" s="3">
        <v>12000</v>
      </c>
    </row>
    <row r="37" spans="1:6">
      <c r="A37" s="2"/>
      <c r="B37" s="2" t="s">
        <v>134</v>
      </c>
      <c r="C37" s="2"/>
      <c r="D37" s="2"/>
      <c r="E37" s="2"/>
      <c r="F37" s="2"/>
    </row>
    <row r="38" spans="1:6">
      <c r="A38" s="2" t="s">
        <v>135</v>
      </c>
      <c r="B38" s="2" t="s">
        <v>136</v>
      </c>
      <c r="C38" s="2" t="s">
        <v>101</v>
      </c>
      <c r="D38" s="2"/>
      <c r="E38" s="3">
        <v>10000</v>
      </c>
      <c r="F38" s="2"/>
    </row>
    <row r="39" spans="1:6">
      <c r="A39" s="2"/>
      <c r="B39" s="2" t="s">
        <v>137</v>
      </c>
      <c r="C39" s="2"/>
      <c r="D39" s="2"/>
      <c r="E39" s="2"/>
      <c r="F39" s="3">
        <v>10000</v>
      </c>
    </row>
    <row r="40" spans="1:6">
      <c r="A40" s="2"/>
      <c r="B40" s="2" t="s">
        <v>138</v>
      </c>
      <c r="C40" s="2"/>
      <c r="D40" s="2"/>
      <c r="E40" s="2"/>
      <c r="F40" s="2"/>
    </row>
    <row r="41" spans="1:6">
      <c r="A41" s="2" t="s">
        <v>139</v>
      </c>
      <c r="B41" s="2" t="s">
        <v>140</v>
      </c>
      <c r="C41" s="2" t="s">
        <v>101</v>
      </c>
      <c r="D41" s="2"/>
      <c r="E41" s="3">
        <v>50000</v>
      </c>
      <c r="F41" s="2"/>
    </row>
    <row r="42" spans="1:6">
      <c r="A42" s="2"/>
      <c r="B42" s="2" t="s">
        <v>141</v>
      </c>
      <c r="C42" s="2"/>
      <c r="D42" s="2"/>
      <c r="E42" s="2"/>
      <c r="F42" s="3">
        <v>50000</v>
      </c>
    </row>
    <row r="43" spans="1:6">
      <c r="A43" s="2"/>
      <c r="B43" s="2" t="s">
        <v>142</v>
      </c>
      <c r="C43" s="2"/>
      <c r="D43" s="2"/>
      <c r="E43" s="2"/>
      <c r="F43" s="2"/>
    </row>
    <row r="44" spans="1:6">
      <c r="A44" s="2" t="s">
        <v>143</v>
      </c>
      <c r="B44" s="2" t="s">
        <v>144</v>
      </c>
      <c r="C44" s="2" t="s">
        <v>101</v>
      </c>
      <c r="D44" s="2"/>
      <c r="E44" s="3">
        <v>22000</v>
      </c>
      <c r="F44" s="2"/>
    </row>
    <row r="45" spans="1:6">
      <c r="A45" s="2"/>
      <c r="B45" s="2" t="s">
        <v>118</v>
      </c>
      <c r="C45" s="2"/>
      <c r="D45" s="2"/>
      <c r="E45" s="2"/>
      <c r="F45" s="3">
        <v>22000</v>
      </c>
    </row>
    <row r="46" spans="1:6">
      <c r="A46" s="2"/>
      <c r="B46" s="2" t="s">
        <v>145</v>
      </c>
      <c r="C46" s="2"/>
      <c r="D46" s="2"/>
      <c r="E46" s="2"/>
      <c r="F46" s="2"/>
    </row>
    <row r="47" spans="1:6">
      <c r="A47" s="2" t="s">
        <v>146</v>
      </c>
      <c r="B47" s="2" t="s">
        <v>100</v>
      </c>
      <c r="C47" s="2" t="s">
        <v>101</v>
      </c>
      <c r="D47" s="2"/>
      <c r="E47" s="3">
        <v>210000</v>
      </c>
      <c r="F47" s="2"/>
    </row>
    <row r="48" spans="1:6">
      <c r="A48" s="2"/>
      <c r="B48" s="2" t="s">
        <v>147</v>
      </c>
      <c r="C48" s="2" t="s">
        <v>101</v>
      </c>
      <c r="D48" s="2"/>
      <c r="E48" s="3">
        <v>6000</v>
      </c>
      <c r="F48" s="2"/>
    </row>
    <row r="49" spans="1:6">
      <c r="A49" s="2"/>
      <c r="B49" s="2" t="s">
        <v>137</v>
      </c>
      <c r="C49" s="2"/>
      <c r="D49" s="2"/>
      <c r="E49" s="2"/>
      <c r="F49" s="3">
        <v>216000</v>
      </c>
    </row>
    <row r="50" spans="1:6">
      <c r="A50" s="2"/>
      <c r="B50" s="2" t="s">
        <v>148</v>
      </c>
      <c r="C50" s="2"/>
      <c r="D50" s="2"/>
      <c r="E50" s="2"/>
      <c r="F50" s="2"/>
    </row>
    <row r="51" spans="1:6">
      <c r="A51" s="2" t="s">
        <v>149</v>
      </c>
      <c r="B51" s="2" t="s">
        <v>132</v>
      </c>
      <c r="C51" s="2" t="s">
        <v>101</v>
      </c>
      <c r="D51" s="2"/>
      <c r="E51" s="3">
        <v>157000</v>
      </c>
      <c r="F51" s="2"/>
    </row>
    <row r="52" spans="1:6">
      <c r="A52" s="2"/>
      <c r="B52" s="2" t="s">
        <v>141</v>
      </c>
      <c r="C52" s="2"/>
      <c r="D52" s="2"/>
      <c r="E52" s="2"/>
      <c r="F52" s="3">
        <v>150000</v>
      </c>
    </row>
    <row r="53" spans="1:6">
      <c r="A53" s="2"/>
      <c r="B53" s="2" t="s">
        <v>150</v>
      </c>
      <c r="C53" s="2"/>
      <c r="D53" s="2"/>
      <c r="E53" s="2"/>
      <c r="F53" s="3">
        <v>7000</v>
      </c>
    </row>
    <row r="54" spans="1:6">
      <c r="A54" s="2"/>
      <c r="B54" s="2" t="s">
        <v>151</v>
      </c>
      <c r="C54" s="2"/>
      <c r="D54" s="2"/>
      <c r="E54" s="2"/>
      <c r="F54" s="2"/>
    </row>
    <row r="55" spans="1:6">
      <c r="A55" s="2" t="s">
        <v>152</v>
      </c>
      <c r="B55" s="2" t="s">
        <v>153</v>
      </c>
      <c r="C55" s="2" t="s">
        <v>101</v>
      </c>
      <c r="D55" s="2"/>
      <c r="E55" s="3">
        <v>18000</v>
      </c>
      <c r="F55" s="2"/>
    </row>
    <row r="56" spans="1:6">
      <c r="A56" s="2"/>
      <c r="B56" s="2" t="s">
        <v>118</v>
      </c>
      <c r="C56" s="2"/>
      <c r="D56" s="2"/>
      <c r="E56" s="2"/>
      <c r="F56" s="3">
        <v>18000</v>
      </c>
    </row>
    <row r="57" spans="1:6">
      <c r="A57" s="2"/>
      <c r="B57" s="2" t="s">
        <v>154</v>
      </c>
      <c r="C57" s="2"/>
      <c r="D57" s="2"/>
      <c r="E57" s="2"/>
      <c r="F57" s="2"/>
    </row>
    <row r="58" spans="1:6">
      <c r="A58" s="2" t="s">
        <v>155</v>
      </c>
      <c r="B58" s="2" t="s">
        <v>115</v>
      </c>
      <c r="C58" s="2" t="s">
        <v>101</v>
      </c>
      <c r="D58" s="2"/>
      <c r="E58" s="3">
        <v>85000</v>
      </c>
      <c r="F58" s="2"/>
    </row>
    <row r="59" spans="1:6">
      <c r="A59" s="2"/>
      <c r="B59" s="2" t="s">
        <v>111</v>
      </c>
      <c r="C59" s="2"/>
      <c r="D59" s="2"/>
      <c r="E59" s="2"/>
      <c r="F59" s="3">
        <v>85000</v>
      </c>
    </row>
    <row r="60" spans="1:6">
      <c r="A60" s="2"/>
      <c r="B60" s="2" t="s">
        <v>156</v>
      </c>
      <c r="C60" s="2"/>
      <c r="D60" s="2"/>
      <c r="E60" s="2"/>
      <c r="F60" s="2"/>
    </row>
    <row r="61" spans="1:6">
      <c r="A61" s="2" t="s">
        <v>157</v>
      </c>
      <c r="B61" s="2" t="s">
        <v>108</v>
      </c>
      <c r="C61" s="2" t="s">
        <v>101</v>
      </c>
      <c r="D61" s="2"/>
      <c r="E61" s="3">
        <v>120000</v>
      </c>
      <c r="F61" s="2"/>
    </row>
    <row r="62" spans="1:6">
      <c r="A62" s="2"/>
      <c r="B62" s="2" t="s">
        <v>121</v>
      </c>
      <c r="C62" s="2"/>
      <c r="D62" s="2"/>
      <c r="E62" s="2"/>
      <c r="F62" s="3">
        <v>120000</v>
      </c>
    </row>
    <row r="63" spans="1:6">
      <c r="A63" s="2"/>
      <c r="B63" s="2" t="s">
        <v>158</v>
      </c>
      <c r="C63" s="2"/>
      <c r="D63" s="2"/>
      <c r="E63" s="2"/>
      <c r="F63" s="2"/>
    </row>
    <row r="64" spans="1:6">
      <c r="A64" s="2" t="s">
        <v>159</v>
      </c>
      <c r="B64" s="2" t="s">
        <v>102</v>
      </c>
      <c r="C64" s="2" t="s">
        <v>101</v>
      </c>
      <c r="D64" s="2"/>
      <c r="E64" s="3">
        <v>110000</v>
      </c>
      <c r="F64" s="2"/>
    </row>
    <row r="65" spans="1:6">
      <c r="A65" s="2"/>
      <c r="B65" s="2" t="s">
        <v>160</v>
      </c>
      <c r="C65" s="2"/>
      <c r="D65" s="2"/>
      <c r="E65" s="2"/>
      <c r="F65" s="3">
        <v>110000</v>
      </c>
    </row>
    <row r="66" spans="1:6">
      <c r="A66" s="2"/>
      <c r="B66" s="2" t="s">
        <v>161</v>
      </c>
      <c r="C66" s="2"/>
      <c r="D66" s="2"/>
      <c r="E66" s="2"/>
      <c r="F66" s="2"/>
    </row>
    <row r="67" spans="1:6">
      <c r="A67" s="2" t="s">
        <v>162</v>
      </c>
      <c r="B67" s="2" t="s">
        <v>163</v>
      </c>
      <c r="C67" s="2" t="s">
        <v>101</v>
      </c>
      <c r="D67" s="2"/>
      <c r="E67" s="3">
        <v>5500</v>
      </c>
      <c r="F67" s="2"/>
    </row>
    <row r="68" spans="1:6">
      <c r="A68" s="2"/>
      <c r="B68" s="2" t="s">
        <v>118</v>
      </c>
      <c r="C68" s="2"/>
      <c r="D68" s="2"/>
      <c r="E68" s="2"/>
      <c r="F68" s="3">
        <v>5500</v>
      </c>
    </row>
    <row r="69" spans="1:6">
      <c r="A69" s="2"/>
      <c r="B69" s="2" t="s">
        <v>164</v>
      </c>
      <c r="C69" s="2"/>
      <c r="D69" s="2"/>
      <c r="E69" s="2"/>
      <c r="F69" s="2"/>
    </row>
    <row r="70" spans="1:6">
      <c r="A70" s="2" t="s">
        <v>165</v>
      </c>
      <c r="B70" s="2" t="s">
        <v>100</v>
      </c>
      <c r="C70" s="2" t="s">
        <v>101</v>
      </c>
      <c r="D70" s="2"/>
      <c r="E70" s="3">
        <v>9000</v>
      </c>
      <c r="F70" s="2"/>
    </row>
    <row r="71" spans="1:6">
      <c r="A71" s="2"/>
      <c r="B71" s="2" t="s">
        <v>166</v>
      </c>
      <c r="C71" s="2"/>
      <c r="D71" s="2"/>
      <c r="E71" s="2"/>
      <c r="F71" s="3">
        <v>9000</v>
      </c>
    </row>
    <row r="72" spans="1:6">
      <c r="A72" s="2"/>
      <c r="B72" s="2" t="s">
        <v>167</v>
      </c>
      <c r="C72" s="2"/>
      <c r="D72" s="2"/>
      <c r="E72" s="2"/>
      <c r="F72" s="2"/>
    </row>
    <row r="73" spans="1:6">
      <c r="A73" s="2" t="s">
        <v>168</v>
      </c>
      <c r="B73" s="2" t="s">
        <v>100</v>
      </c>
      <c r="C73" s="2" t="s">
        <v>101</v>
      </c>
      <c r="D73" s="2"/>
      <c r="E73" s="3">
        <v>20000</v>
      </c>
      <c r="F73" s="2"/>
    </row>
    <row r="74" spans="1:6">
      <c r="A74" s="2"/>
      <c r="B74" s="2" t="s">
        <v>141</v>
      </c>
      <c r="C74" s="2"/>
      <c r="D74" s="2"/>
      <c r="E74" s="2"/>
      <c r="F74" s="3">
        <v>20000</v>
      </c>
    </row>
    <row r="75" spans="1:6">
      <c r="A75" s="2"/>
      <c r="B75" s="2" t="s">
        <v>169</v>
      </c>
      <c r="C75" s="2"/>
      <c r="D75" s="2"/>
      <c r="E75" s="2"/>
      <c r="F75" s="2"/>
    </row>
    <row r="76" spans="1:6">
      <c r="A76" s="2" t="s">
        <v>170</v>
      </c>
      <c r="B76" s="2" t="s">
        <v>171</v>
      </c>
      <c r="C76" s="2" t="s">
        <v>101</v>
      </c>
      <c r="D76" s="2"/>
      <c r="E76" s="3">
        <v>12000</v>
      </c>
      <c r="F76" s="2"/>
    </row>
    <row r="77" spans="1:6">
      <c r="A77" s="2"/>
      <c r="B77" s="2" t="s">
        <v>118</v>
      </c>
      <c r="C77" s="2"/>
      <c r="D77" s="2"/>
      <c r="E77" s="2"/>
      <c r="F77" s="3">
        <v>12000</v>
      </c>
    </row>
    <row r="78" spans="1:6">
      <c r="A78" s="2"/>
      <c r="B78" s="2" t="s">
        <v>172</v>
      </c>
      <c r="C78" s="2"/>
      <c r="D78" s="2"/>
      <c r="E78" s="2"/>
      <c r="F78" s="2"/>
    </row>
    <row r="79" spans="1:6">
      <c r="A79" s="2" t="s">
        <v>173</v>
      </c>
      <c r="B79" s="2" t="s">
        <v>174</v>
      </c>
      <c r="C79" s="2" t="s">
        <v>101</v>
      </c>
      <c r="D79" s="2"/>
      <c r="E79" s="3">
        <v>6000</v>
      </c>
      <c r="F79" s="2"/>
    </row>
    <row r="80" spans="1:6">
      <c r="A80" s="2"/>
      <c r="B80" s="2" t="s">
        <v>141</v>
      </c>
      <c r="C80" s="2"/>
      <c r="D80" s="2"/>
      <c r="E80" s="2"/>
      <c r="F80" s="3">
        <v>6000</v>
      </c>
    </row>
    <row r="81" spans="1:6">
      <c r="A81" s="2"/>
      <c r="B81" s="2" t="s">
        <v>175</v>
      </c>
      <c r="C81" s="2"/>
      <c r="D81" s="2"/>
      <c r="E81" s="2"/>
      <c r="F81" s="2"/>
    </row>
    <row r="82" spans="1:6">
      <c r="A82" s="2" t="s">
        <v>176</v>
      </c>
      <c r="B82" s="2" t="s">
        <v>177</v>
      </c>
      <c r="C82" s="2" t="s">
        <v>101</v>
      </c>
      <c r="D82" s="2"/>
      <c r="E82" s="3">
        <v>4000</v>
      </c>
      <c r="F82" s="2"/>
    </row>
    <row r="83" spans="1:6">
      <c r="A83" s="2"/>
      <c r="B83" s="2" t="s">
        <v>118</v>
      </c>
      <c r="C83" s="2"/>
      <c r="D83" s="2"/>
      <c r="E83" s="2"/>
      <c r="F83" s="3">
        <v>4000</v>
      </c>
    </row>
    <row r="84" spans="1:6">
      <c r="A84" s="2"/>
      <c r="B84" s="2" t="s">
        <v>178</v>
      </c>
      <c r="C84" s="2"/>
      <c r="D84" s="2"/>
      <c r="E84" s="2"/>
      <c r="F84" s="2"/>
    </row>
    <row r="85" spans="1:6">
      <c r="A85" s="2" t="s">
        <v>179</v>
      </c>
      <c r="B85" s="2" t="s">
        <v>102</v>
      </c>
      <c r="C85" s="2" t="s">
        <v>101</v>
      </c>
      <c r="D85" s="2"/>
      <c r="E85" s="3">
        <v>3000</v>
      </c>
      <c r="F85" s="2"/>
    </row>
    <row r="86" spans="1:6">
      <c r="A86" s="2"/>
      <c r="B86" s="2" t="s">
        <v>180</v>
      </c>
      <c r="C86" s="2"/>
      <c r="D86" s="2"/>
      <c r="E86" s="2"/>
      <c r="F86" s="3">
        <v>3000</v>
      </c>
    </row>
    <row r="87" spans="1:6">
      <c r="A87" s="2"/>
      <c r="B87" s="2" t="s">
        <v>181</v>
      </c>
      <c r="C87" s="2"/>
      <c r="D87" s="2"/>
      <c r="E87" s="2"/>
      <c r="F87" s="2"/>
    </row>
    <row r="88" spans="1:6">
      <c r="A88" s="2" t="s">
        <v>182</v>
      </c>
      <c r="B88" s="2" t="s">
        <v>115</v>
      </c>
      <c r="C88" s="2" t="s">
        <v>101</v>
      </c>
      <c r="D88" s="2"/>
      <c r="E88" s="3">
        <v>30000</v>
      </c>
      <c r="F88" s="2"/>
    </row>
    <row r="89" spans="1:6">
      <c r="A89" s="2"/>
      <c r="B89" s="2" t="s">
        <v>118</v>
      </c>
      <c r="C89" s="2"/>
      <c r="D89" s="2"/>
      <c r="E89" s="2"/>
      <c r="F89" s="3">
        <v>30000</v>
      </c>
    </row>
    <row r="90" spans="1:6">
      <c r="A90" s="2"/>
      <c r="B90" s="2" t="s">
        <v>119</v>
      </c>
      <c r="C90" s="2"/>
      <c r="D90" s="2"/>
      <c r="E90" s="2"/>
      <c r="F90" s="2"/>
    </row>
    <row r="91" spans="1:6">
      <c r="A91" s="2" t="s">
        <v>183</v>
      </c>
      <c r="B91" s="2" t="s">
        <v>184</v>
      </c>
      <c r="C91" s="2" t="s">
        <v>101</v>
      </c>
      <c r="D91" s="2"/>
      <c r="E91" s="3">
        <v>8500</v>
      </c>
      <c r="F91" s="2"/>
    </row>
    <row r="92" spans="1:6">
      <c r="A92" s="2"/>
      <c r="B92" s="2" t="s">
        <v>118</v>
      </c>
      <c r="C92" s="2"/>
      <c r="D92" s="2"/>
      <c r="E92" s="2"/>
      <c r="F92" s="3">
        <v>8500</v>
      </c>
    </row>
    <row r="93" spans="1:6">
      <c r="A93" s="2"/>
      <c r="B93" s="2" t="s">
        <v>185</v>
      </c>
      <c r="C93" s="2"/>
      <c r="D93" s="2"/>
      <c r="E93" s="2"/>
      <c r="F93" s="2"/>
    </row>
    <row r="94" spans="1:6">
      <c r="A94" s="2" t="s">
        <v>186</v>
      </c>
      <c r="B94" s="2" t="s">
        <v>187</v>
      </c>
      <c r="C94" s="2" t="s">
        <v>101</v>
      </c>
      <c r="D94" s="2"/>
      <c r="E94" s="3">
        <v>2500</v>
      </c>
      <c r="F94" s="2"/>
    </row>
    <row r="95" spans="1:6">
      <c r="A95" s="2"/>
      <c r="B95" s="2" t="s">
        <v>118</v>
      </c>
      <c r="C95" s="2"/>
      <c r="D95" s="2"/>
      <c r="E95" s="2"/>
      <c r="F95" s="3">
        <v>2500</v>
      </c>
    </row>
    <row r="96" spans="1:6">
      <c r="A96" s="2"/>
      <c r="B96" s="2" t="s">
        <v>188</v>
      </c>
      <c r="C96" s="2"/>
      <c r="D96" s="2"/>
      <c r="E96" s="2"/>
      <c r="F96" s="2"/>
    </row>
    <row r="97" spans="1:6">
      <c r="A97" s="2" t="s">
        <v>189</v>
      </c>
      <c r="B97" s="2" t="s">
        <v>104</v>
      </c>
      <c r="C97" s="2" t="s">
        <v>101</v>
      </c>
      <c r="D97" s="2"/>
      <c r="E97" s="3">
        <v>25000</v>
      </c>
      <c r="F97" s="2"/>
    </row>
    <row r="98" spans="1:6">
      <c r="A98" s="2"/>
      <c r="B98" s="2" t="s">
        <v>118</v>
      </c>
      <c r="C98" s="2"/>
      <c r="D98" s="2"/>
      <c r="E98" s="2"/>
      <c r="F98" s="3">
        <v>25000</v>
      </c>
    </row>
    <row r="99" spans="1:6">
      <c r="A99" s="2"/>
      <c r="B99" s="2" t="s">
        <v>190</v>
      </c>
      <c r="C99" s="2"/>
      <c r="D99" s="2"/>
      <c r="E99" s="2"/>
      <c r="F99" s="2"/>
    </row>
    <row r="100" spans="1:6">
      <c r="A100" s="2" t="s">
        <v>191</v>
      </c>
      <c r="B100" s="2" t="s">
        <v>192</v>
      </c>
      <c r="C100" s="2" t="s">
        <v>101</v>
      </c>
      <c r="D100" s="2"/>
      <c r="E100" s="3">
        <v>5000</v>
      </c>
      <c r="F100" s="2"/>
    </row>
    <row r="101" spans="1:6">
      <c r="A101" s="2"/>
      <c r="B101" s="2" t="s">
        <v>118</v>
      </c>
      <c r="C101" s="2"/>
      <c r="D101" s="2"/>
      <c r="E101" s="2"/>
      <c r="F101" s="3">
        <v>5000</v>
      </c>
    </row>
    <row r="102" spans="1:6">
      <c r="A102" s="2"/>
      <c r="B102" s="2" t="s">
        <v>193</v>
      </c>
      <c r="C102" s="2"/>
      <c r="D102" s="2"/>
      <c r="E102" s="2"/>
      <c r="F102" s="2"/>
    </row>
    <row r="103" spans="1:6">
      <c r="A103" s="2" t="s">
        <v>194</v>
      </c>
      <c r="B103" s="2" t="s">
        <v>102</v>
      </c>
      <c r="C103" s="2" t="s">
        <v>101</v>
      </c>
      <c r="D103" s="2"/>
      <c r="E103" s="3">
        <v>40000</v>
      </c>
      <c r="F103" s="2"/>
    </row>
    <row r="104" spans="1:6">
      <c r="A104" s="2"/>
      <c r="B104" s="2" t="s">
        <v>118</v>
      </c>
      <c r="C104" s="2"/>
      <c r="D104" s="2"/>
      <c r="E104" s="2"/>
      <c r="F104" s="3">
        <v>40000</v>
      </c>
    </row>
    <row r="105" spans="1:6">
      <c r="A105" s="2"/>
      <c r="B105" s="2" t="s">
        <v>195</v>
      </c>
      <c r="C105" s="2"/>
      <c r="D105" s="2"/>
      <c r="E105" s="2"/>
      <c r="F105" s="2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9819-B202-4C03-87A3-656F2B222185}">
  <dimension ref="A1:H230"/>
  <sheetViews>
    <sheetView topLeftCell="A112" workbookViewId="0">
      <selection activeCell="S119" sqref="S119"/>
    </sheetView>
  </sheetViews>
  <sheetFormatPr defaultRowHeight="15.75"/>
  <cols>
    <col min="1" max="1" width="13.140625" style="1" customWidth="1"/>
    <col min="2" max="2" width="40" style="1" customWidth="1"/>
    <col min="3" max="3" width="5.140625" style="1" bestFit="1" customWidth="1"/>
    <col min="4" max="4" width="12.7109375" style="1" customWidth="1"/>
    <col min="5" max="5" width="13.7109375" style="1" customWidth="1"/>
    <col min="6" max="6" width="43.42578125" style="1" customWidth="1"/>
    <col min="7" max="7" width="5.140625" style="1" bestFit="1" customWidth="1"/>
    <col min="8" max="8" width="13.140625" style="1" customWidth="1"/>
    <col min="9" max="16384" width="9.140625" style="1"/>
  </cols>
  <sheetData>
    <row r="1" spans="1:8" ht="18.75">
      <c r="A1" s="107" t="s">
        <v>196</v>
      </c>
      <c r="B1" s="107"/>
      <c r="C1" s="107"/>
      <c r="D1" s="107"/>
      <c r="E1" s="107"/>
      <c r="F1" s="107"/>
      <c r="G1" s="107"/>
      <c r="H1" s="107"/>
    </row>
    <row r="2" spans="1:8" ht="18.75">
      <c r="A2" s="6" t="s">
        <v>101</v>
      </c>
      <c r="B2" s="107" t="s">
        <v>197</v>
      </c>
      <c r="C2" s="107"/>
      <c r="D2" s="107"/>
      <c r="E2" s="107"/>
      <c r="F2" s="107"/>
      <c r="G2" s="107"/>
      <c r="H2" s="6" t="s">
        <v>198</v>
      </c>
    </row>
    <row r="3" spans="1:8" ht="18.75">
      <c r="A3" s="5" t="s">
        <v>95</v>
      </c>
      <c r="B3" s="5" t="s">
        <v>199</v>
      </c>
      <c r="C3" s="5" t="s">
        <v>200</v>
      </c>
      <c r="D3" s="5" t="s">
        <v>201</v>
      </c>
      <c r="E3" s="5" t="s">
        <v>95</v>
      </c>
      <c r="F3" s="5" t="s">
        <v>199</v>
      </c>
      <c r="G3" s="5" t="s">
        <v>200</v>
      </c>
      <c r="H3" s="5" t="s">
        <v>201</v>
      </c>
    </row>
    <row r="4" spans="1:8">
      <c r="A4" s="2" t="s">
        <v>99</v>
      </c>
      <c r="B4" s="2" t="s">
        <v>202</v>
      </c>
      <c r="C4" s="2"/>
      <c r="D4" s="3">
        <v>80000</v>
      </c>
      <c r="E4" s="2" t="s">
        <v>99</v>
      </c>
      <c r="F4" s="2" t="s">
        <v>203</v>
      </c>
      <c r="G4" s="2"/>
      <c r="H4" s="3">
        <v>45000</v>
      </c>
    </row>
    <row r="5" spans="1:8">
      <c r="A5" s="2" t="s">
        <v>99</v>
      </c>
      <c r="B5" s="2" t="s">
        <v>204</v>
      </c>
      <c r="C5" s="2"/>
      <c r="D5" s="3">
        <v>40000</v>
      </c>
      <c r="E5" s="2" t="s">
        <v>99</v>
      </c>
      <c r="F5" s="2" t="s">
        <v>205</v>
      </c>
      <c r="G5" s="2"/>
      <c r="H5" s="3">
        <v>120000</v>
      </c>
    </row>
    <row r="6" spans="1:8">
      <c r="A6" s="2" t="s">
        <v>99</v>
      </c>
      <c r="B6" s="2" t="s">
        <v>206</v>
      </c>
      <c r="C6" s="2"/>
      <c r="D6" s="3">
        <v>100000</v>
      </c>
      <c r="E6" s="2" t="s">
        <v>99</v>
      </c>
      <c r="F6" s="2" t="s">
        <v>207</v>
      </c>
      <c r="G6" s="2"/>
      <c r="H6" s="3">
        <v>90000</v>
      </c>
    </row>
    <row r="7" spans="1:8">
      <c r="A7" s="2" t="s">
        <v>208</v>
      </c>
      <c r="B7" s="2" t="s">
        <v>209</v>
      </c>
      <c r="C7" s="2"/>
      <c r="D7" s="3">
        <v>450000</v>
      </c>
      <c r="E7" s="2" t="s">
        <v>99</v>
      </c>
      <c r="F7" s="2" t="s">
        <v>210</v>
      </c>
      <c r="G7" s="2"/>
      <c r="H7" s="3">
        <v>60000</v>
      </c>
    </row>
    <row r="8" spans="1:8">
      <c r="A8" s="2"/>
      <c r="B8" s="2"/>
      <c r="C8" s="2"/>
      <c r="D8" s="3"/>
      <c r="E8" s="2" t="s">
        <v>99</v>
      </c>
      <c r="F8" s="2" t="s">
        <v>211</v>
      </c>
      <c r="G8" s="2"/>
      <c r="H8" s="3">
        <v>200000</v>
      </c>
    </row>
    <row r="9" spans="1:8">
      <c r="A9" s="2"/>
      <c r="B9" s="2"/>
      <c r="C9" s="2"/>
      <c r="D9" s="2"/>
      <c r="E9" s="2" t="s">
        <v>99</v>
      </c>
      <c r="F9" s="2" t="s">
        <v>212</v>
      </c>
      <c r="G9" s="2"/>
      <c r="H9" s="3">
        <v>40000</v>
      </c>
    </row>
    <row r="10" spans="1:8">
      <c r="A10" s="2"/>
      <c r="B10" s="2"/>
      <c r="C10" s="2"/>
      <c r="D10" s="3"/>
      <c r="E10" s="2" t="s">
        <v>99</v>
      </c>
      <c r="F10" s="2" t="s">
        <v>213</v>
      </c>
      <c r="G10" s="2"/>
      <c r="H10" s="3">
        <v>70000</v>
      </c>
    </row>
    <row r="11" spans="1:8">
      <c r="A11" s="2"/>
      <c r="B11" s="2"/>
      <c r="C11" s="2"/>
      <c r="D11" s="2"/>
      <c r="E11" s="2" t="s">
        <v>99</v>
      </c>
      <c r="F11" s="2" t="s">
        <v>214</v>
      </c>
      <c r="G11" s="2"/>
      <c r="H11" s="3">
        <v>45000</v>
      </c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7">
        <f>SUM(D4:D12)</f>
        <v>670000</v>
      </c>
      <c r="E13" s="2"/>
      <c r="F13" s="2"/>
      <c r="G13" s="2"/>
      <c r="H13" s="7">
        <f>SUM(H4:H12)</f>
        <v>670000</v>
      </c>
    </row>
    <row r="14" spans="1:8">
      <c r="A14" s="2"/>
      <c r="B14" s="2"/>
      <c r="C14" s="2"/>
      <c r="D14" s="2"/>
      <c r="E14" s="2" t="s">
        <v>215</v>
      </c>
      <c r="F14" s="2" t="s">
        <v>216</v>
      </c>
      <c r="G14" s="2"/>
      <c r="H14" s="7">
        <f>D7</f>
        <v>450000</v>
      </c>
    </row>
    <row r="16" spans="1:8" ht="18.75">
      <c r="A16" s="6" t="s">
        <v>101</v>
      </c>
      <c r="B16" s="107" t="s">
        <v>217</v>
      </c>
      <c r="C16" s="107"/>
      <c r="D16" s="107"/>
      <c r="E16" s="107"/>
      <c r="F16" s="107"/>
      <c r="G16" s="107"/>
      <c r="H16" s="6" t="s">
        <v>198</v>
      </c>
    </row>
    <row r="17" spans="1:8" ht="18.75">
      <c r="A17" s="5" t="s">
        <v>95</v>
      </c>
      <c r="B17" s="5" t="s">
        <v>199</v>
      </c>
      <c r="C17" s="5" t="s">
        <v>200</v>
      </c>
      <c r="D17" s="5" t="s">
        <v>201</v>
      </c>
      <c r="E17" s="5" t="s">
        <v>95</v>
      </c>
      <c r="F17" s="5" t="s">
        <v>199</v>
      </c>
      <c r="G17" s="5" t="s">
        <v>200</v>
      </c>
      <c r="H17" s="5" t="s">
        <v>201</v>
      </c>
    </row>
    <row r="18" spans="1:8">
      <c r="A18" s="2" t="s">
        <v>99</v>
      </c>
      <c r="B18" s="2" t="s">
        <v>218</v>
      </c>
      <c r="C18" s="2"/>
      <c r="D18" s="3">
        <v>45000</v>
      </c>
      <c r="E18" s="2" t="s">
        <v>117</v>
      </c>
      <c r="F18" s="2" t="s">
        <v>219</v>
      </c>
      <c r="G18" s="2"/>
      <c r="H18" s="3">
        <v>35000</v>
      </c>
    </row>
    <row r="19" spans="1:8">
      <c r="A19" s="2" t="s">
        <v>146</v>
      </c>
      <c r="B19" s="2" t="s">
        <v>137</v>
      </c>
      <c r="C19" s="2"/>
      <c r="D19" s="3">
        <v>210000</v>
      </c>
      <c r="E19" s="2" t="s">
        <v>125</v>
      </c>
      <c r="F19" s="2" t="s">
        <v>220</v>
      </c>
      <c r="G19" s="2"/>
      <c r="H19" s="3">
        <v>4500</v>
      </c>
    </row>
    <row r="20" spans="1:8">
      <c r="A20" s="2" t="s">
        <v>165</v>
      </c>
      <c r="B20" s="2" t="s">
        <v>166</v>
      </c>
      <c r="C20" s="2"/>
      <c r="D20" s="3">
        <v>9000</v>
      </c>
      <c r="E20" s="2" t="s">
        <v>128</v>
      </c>
      <c r="F20" s="2" t="s">
        <v>221</v>
      </c>
      <c r="G20" s="2"/>
      <c r="H20" s="3">
        <v>15000</v>
      </c>
    </row>
    <row r="21" spans="1:8">
      <c r="A21" s="2" t="s">
        <v>168</v>
      </c>
      <c r="B21" s="2" t="s">
        <v>222</v>
      </c>
      <c r="C21" s="2"/>
      <c r="D21" s="3">
        <v>20000</v>
      </c>
      <c r="E21" s="2" t="s">
        <v>143</v>
      </c>
      <c r="F21" s="2" t="s">
        <v>223</v>
      </c>
      <c r="G21" s="2"/>
      <c r="H21" s="3">
        <v>22000</v>
      </c>
    </row>
    <row r="22" spans="1:8">
      <c r="A22" s="2"/>
      <c r="B22" s="2"/>
      <c r="C22" s="2"/>
      <c r="D22" s="2"/>
      <c r="E22" s="2" t="s">
        <v>152</v>
      </c>
      <c r="F22" s="2" t="s">
        <v>224</v>
      </c>
      <c r="G22" s="2"/>
      <c r="H22" s="3">
        <v>18000</v>
      </c>
    </row>
    <row r="23" spans="1:8">
      <c r="A23" s="2"/>
      <c r="B23" s="2"/>
      <c r="C23" s="2"/>
      <c r="D23" s="2"/>
      <c r="E23" s="2" t="s">
        <v>162</v>
      </c>
      <c r="F23" s="2" t="s">
        <v>225</v>
      </c>
      <c r="G23" s="2"/>
      <c r="H23" s="3">
        <v>5500</v>
      </c>
    </row>
    <row r="24" spans="1:8">
      <c r="A24" s="2"/>
      <c r="B24" s="2"/>
      <c r="C24" s="2"/>
      <c r="D24" s="2"/>
      <c r="E24" s="2" t="s">
        <v>170</v>
      </c>
      <c r="F24" s="2" t="s">
        <v>226</v>
      </c>
      <c r="G24" s="2"/>
      <c r="H24" s="3">
        <v>12000</v>
      </c>
    </row>
    <row r="25" spans="1:8">
      <c r="A25" s="2"/>
      <c r="B25" s="2"/>
      <c r="C25" s="2"/>
      <c r="D25" s="2"/>
      <c r="E25" s="2" t="s">
        <v>176</v>
      </c>
      <c r="F25" s="2" t="s">
        <v>227</v>
      </c>
      <c r="G25" s="2"/>
      <c r="H25" s="3">
        <v>4000</v>
      </c>
    </row>
    <row r="26" spans="1:8">
      <c r="A26" s="2"/>
      <c r="B26" s="2"/>
      <c r="C26" s="2"/>
      <c r="D26" s="2"/>
      <c r="E26" s="2" t="s">
        <v>182</v>
      </c>
      <c r="F26" s="2" t="s">
        <v>219</v>
      </c>
      <c r="G26" s="2"/>
      <c r="H26" s="3">
        <v>30000</v>
      </c>
    </row>
    <row r="27" spans="1:8">
      <c r="A27" s="2"/>
      <c r="B27" s="2"/>
      <c r="C27" s="2"/>
      <c r="D27" s="2"/>
      <c r="E27" s="2" t="s">
        <v>183</v>
      </c>
      <c r="F27" s="2" t="s">
        <v>228</v>
      </c>
      <c r="G27" s="2"/>
      <c r="H27" s="3">
        <v>8500</v>
      </c>
    </row>
    <row r="28" spans="1:8">
      <c r="A28" s="2"/>
      <c r="B28" s="2"/>
      <c r="C28" s="2"/>
      <c r="D28" s="2"/>
      <c r="E28" s="2" t="s">
        <v>186</v>
      </c>
      <c r="F28" s="2" t="s">
        <v>229</v>
      </c>
      <c r="G28" s="2"/>
      <c r="H28" s="3">
        <v>2500</v>
      </c>
    </row>
    <row r="29" spans="1:8">
      <c r="A29" s="2"/>
      <c r="B29" s="2"/>
      <c r="C29" s="2"/>
      <c r="D29" s="2"/>
      <c r="E29" s="2" t="s">
        <v>189</v>
      </c>
      <c r="F29" s="2" t="s">
        <v>210</v>
      </c>
      <c r="G29" s="2"/>
      <c r="H29" s="3">
        <v>25000</v>
      </c>
    </row>
    <row r="30" spans="1:8">
      <c r="A30" s="2"/>
      <c r="B30" s="2"/>
      <c r="C30" s="2"/>
      <c r="D30" s="2"/>
      <c r="E30" s="2" t="s">
        <v>191</v>
      </c>
      <c r="F30" s="2" t="s">
        <v>230</v>
      </c>
      <c r="G30" s="2"/>
      <c r="H30" s="3">
        <v>5000</v>
      </c>
    </row>
    <row r="31" spans="1:8">
      <c r="A31" s="2"/>
      <c r="B31" s="2"/>
      <c r="C31" s="2"/>
      <c r="D31" s="2"/>
      <c r="E31" s="2" t="s">
        <v>194</v>
      </c>
      <c r="F31" s="2" t="s">
        <v>231</v>
      </c>
      <c r="G31" s="2"/>
      <c r="H31" s="3">
        <v>40000</v>
      </c>
    </row>
    <row r="32" spans="1:8">
      <c r="A32" s="2"/>
      <c r="B32" s="2"/>
      <c r="C32" s="2"/>
      <c r="D32" s="2"/>
      <c r="E32" s="2" t="s">
        <v>208</v>
      </c>
      <c r="F32" s="2" t="s">
        <v>232</v>
      </c>
      <c r="G32" s="2"/>
      <c r="H32" s="3">
        <v>57000</v>
      </c>
    </row>
    <row r="33" spans="1:8">
      <c r="A33" s="2"/>
      <c r="B33" s="2"/>
      <c r="C33" s="2"/>
      <c r="D33" s="2"/>
      <c r="E33" s="2"/>
      <c r="F33" s="2"/>
      <c r="G33" s="2"/>
      <c r="H33" s="3"/>
    </row>
    <row r="34" spans="1:8">
      <c r="A34" s="2"/>
      <c r="B34" s="2"/>
      <c r="C34" s="2"/>
      <c r="D34" s="7">
        <f>SUM(D18:D32)</f>
        <v>284000</v>
      </c>
      <c r="E34" s="2"/>
      <c r="F34" s="2"/>
      <c r="G34" s="2"/>
      <c r="H34" s="7">
        <f>SUM(H18:H32)</f>
        <v>284000</v>
      </c>
    </row>
    <row r="35" spans="1:8">
      <c r="A35" s="2" t="s">
        <v>215</v>
      </c>
      <c r="B35" s="2" t="s">
        <v>218</v>
      </c>
      <c r="C35" s="2"/>
      <c r="D35" s="7">
        <f>H32</f>
        <v>57000</v>
      </c>
      <c r="E35" s="2"/>
      <c r="F35" s="2"/>
      <c r="G35" s="2"/>
      <c r="H35" s="2"/>
    </row>
    <row r="36" spans="1:8">
      <c r="F36" s="4"/>
    </row>
    <row r="37" spans="1:8" ht="18.75">
      <c r="A37" s="10" t="s">
        <v>233</v>
      </c>
      <c r="B37" s="108" t="s">
        <v>234</v>
      </c>
      <c r="C37" s="108"/>
      <c r="D37" s="108"/>
      <c r="E37" s="108"/>
      <c r="F37" s="108"/>
      <c r="G37" s="108"/>
      <c r="H37" s="9" t="s">
        <v>198</v>
      </c>
    </row>
    <row r="38" spans="1:8" s="31" customFormat="1" ht="18.75">
      <c r="A38" s="29" t="s">
        <v>24</v>
      </c>
      <c r="B38" s="30" t="s">
        <v>199</v>
      </c>
      <c r="C38" s="30" t="s">
        <v>235</v>
      </c>
      <c r="D38" s="30" t="s">
        <v>201</v>
      </c>
      <c r="E38" s="30" t="s">
        <v>24</v>
      </c>
      <c r="F38" s="30" t="s">
        <v>199</v>
      </c>
      <c r="G38" s="30" t="s">
        <v>235</v>
      </c>
      <c r="H38" s="11" t="s">
        <v>201</v>
      </c>
    </row>
    <row r="39" spans="1:8">
      <c r="A39" s="12" t="s">
        <v>236</v>
      </c>
      <c r="B39" s="13" t="s">
        <v>237</v>
      </c>
      <c r="C39" s="13" t="s">
        <v>238</v>
      </c>
      <c r="D39" s="14">
        <v>110000</v>
      </c>
      <c r="E39" s="13" t="s">
        <v>239</v>
      </c>
      <c r="F39" s="13" t="s">
        <v>240</v>
      </c>
      <c r="G39" s="13" t="s">
        <v>238</v>
      </c>
      <c r="H39" s="15">
        <v>260000</v>
      </c>
    </row>
    <row r="40" spans="1:8">
      <c r="A40" s="16" t="s">
        <v>241</v>
      </c>
      <c r="B40" s="17" t="s">
        <v>242</v>
      </c>
      <c r="C40" s="17" t="s">
        <v>238</v>
      </c>
      <c r="D40" s="18">
        <v>35000</v>
      </c>
      <c r="E40" s="17" t="s">
        <v>238</v>
      </c>
      <c r="F40" s="17" t="s">
        <v>238</v>
      </c>
      <c r="G40" s="17" t="s">
        <v>238</v>
      </c>
      <c r="H40" s="19" t="s">
        <v>238</v>
      </c>
    </row>
    <row r="41" spans="1:8">
      <c r="A41" s="16" t="s">
        <v>243</v>
      </c>
      <c r="B41" s="17" t="s">
        <v>244</v>
      </c>
      <c r="C41" s="17" t="s">
        <v>238</v>
      </c>
      <c r="D41" s="18">
        <v>85000</v>
      </c>
      <c r="E41" s="17" t="s">
        <v>238</v>
      </c>
      <c r="F41" s="17" t="s">
        <v>238</v>
      </c>
      <c r="G41" s="17" t="s">
        <v>238</v>
      </c>
      <c r="H41" s="19" t="s">
        <v>238</v>
      </c>
    </row>
    <row r="42" spans="1:8">
      <c r="A42" s="16" t="s">
        <v>245</v>
      </c>
      <c r="B42" s="17" t="s">
        <v>242</v>
      </c>
      <c r="C42" s="17" t="s">
        <v>238</v>
      </c>
      <c r="D42" s="18">
        <v>30000</v>
      </c>
      <c r="E42" s="17" t="s">
        <v>238</v>
      </c>
      <c r="F42" s="17" t="s">
        <v>238</v>
      </c>
      <c r="G42" s="17" t="s">
        <v>238</v>
      </c>
      <c r="H42" s="19" t="s">
        <v>238</v>
      </c>
    </row>
    <row r="43" spans="1:8">
      <c r="A43" s="16" t="s">
        <v>238</v>
      </c>
      <c r="B43" s="17" t="s">
        <v>238</v>
      </c>
      <c r="C43" s="17" t="s">
        <v>238</v>
      </c>
      <c r="D43" s="17" t="s">
        <v>238</v>
      </c>
      <c r="E43" s="17" t="s">
        <v>238</v>
      </c>
      <c r="F43" s="17" t="s">
        <v>238</v>
      </c>
      <c r="G43" s="17" t="s">
        <v>238</v>
      </c>
      <c r="H43" s="19" t="s">
        <v>238</v>
      </c>
    </row>
    <row r="44" spans="1:8">
      <c r="A44" s="16" t="s">
        <v>238</v>
      </c>
      <c r="B44" s="17" t="s">
        <v>238</v>
      </c>
      <c r="C44" s="17" t="s">
        <v>238</v>
      </c>
      <c r="D44" s="20">
        <f>SUM(D39:D43)</f>
        <v>260000</v>
      </c>
      <c r="E44" s="17" t="s">
        <v>238</v>
      </c>
      <c r="F44" s="17" t="s">
        <v>238</v>
      </c>
      <c r="G44" s="17" t="s">
        <v>238</v>
      </c>
      <c r="H44" s="21">
        <v>260000</v>
      </c>
    </row>
    <row r="45" spans="1:8">
      <c r="A45" s="22" t="s">
        <v>246</v>
      </c>
      <c r="B45" s="23" t="s">
        <v>247</v>
      </c>
      <c r="C45" s="23" t="s">
        <v>238</v>
      </c>
      <c r="D45" s="24">
        <v>260000</v>
      </c>
      <c r="E45" s="23" t="s">
        <v>238</v>
      </c>
      <c r="F45" s="23" t="s">
        <v>238</v>
      </c>
      <c r="G45" s="23" t="s">
        <v>238</v>
      </c>
      <c r="H45" s="25" t="s">
        <v>238</v>
      </c>
    </row>
    <row r="46" spans="1:8">
      <c r="A46" s="109"/>
      <c r="B46" s="109"/>
      <c r="C46" s="109"/>
      <c r="D46" s="109"/>
      <c r="E46" s="109"/>
      <c r="F46" s="109"/>
      <c r="G46" s="109"/>
      <c r="H46" s="109"/>
    </row>
    <row r="47" spans="1:8" ht="18.75">
      <c r="A47" s="8" t="s">
        <v>233</v>
      </c>
      <c r="B47" s="108" t="s">
        <v>248</v>
      </c>
      <c r="C47" s="108"/>
      <c r="D47" s="108"/>
      <c r="E47" s="108"/>
      <c r="F47" s="108"/>
      <c r="G47" s="108"/>
      <c r="H47" s="8" t="s">
        <v>198</v>
      </c>
    </row>
    <row r="48" spans="1:8" s="31" customFormat="1" ht="18.75">
      <c r="A48" s="29" t="s">
        <v>24</v>
      </c>
      <c r="B48" s="30" t="s">
        <v>199</v>
      </c>
      <c r="C48" s="30" t="s">
        <v>235</v>
      </c>
      <c r="D48" s="30" t="s">
        <v>201</v>
      </c>
      <c r="E48" s="30" t="s">
        <v>24</v>
      </c>
      <c r="F48" s="30" t="s">
        <v>199</v>
      </c>
      <c r="G48" s="30" t="s">
        <v>235</v>
      </c>
      <c r="H48" s="11" t="s">
        <v>201</v>
      </c>
    </row>
    <row r="49" spans="1:8">
      <c r="A49" s="12" t="s">
        <v>249</v>
      </c>
      <c r="B49" s="13" t="s">
        <v>250</v>
      </c>
      <c r="C49" s="13" t="s">
        <v>238</v>
      </c>
      <c r="D49" s="14">
        <v>12000</v>
      </c>
      <c r="E49" s="13" t="s">
        <v>251</v>
      </c>
      <c r="F49" s="13" t="s">
        <v>252</v>
      </c>
      <c r="G49" s="13" t="s">
        <v>238</v>
      </c>
      <c r="H49" s="15">
        <v>80000</v>
      </c>
    </row>
    <row r="50" spans="1:8">
      <c r="A50" s="16" t="s">
        <v>253</v>
      </c>
      <c r="B50" s="17" t="s">
        <v>254</v>
      </c>
      <c r="C50" s="17" t="s">
        <v>238</v>
      </c>
      <c r="D50" s="18">
        <v>150000</v>
      </c>
      <c r="E50" s="17" t="s">
        <v>236</v>
      </c>
      <c r="F50" s="17" t="s">
        <v>255</v>
      </c>
      <c r="G50" s="17" t="s">
        <v>238</v>
      </c>
      <c r="H50" s="26">
        <v>110000</v>
      </c>
    </row>
    <row r="51" spans="1:8">
      <c r="A51" s="16" t="s">
        <v>253</v>
      </c>
      <c r="B51" s="17" t="s">
        <v>256</v>
      </c>
      <c r="C51" s="17" t="s">
        <v>238</v>
      </c>
      <c r="D51" s="18">
        <v>7000</v>
      </c>
      <c r="E51" s="17" t="s">
        <v>238</v>
      </c>
      <c r="F51" s="17" t="s">
        <v>238</v>
      </c>
      <c r="G51" s="17" t="s">
        <v>238</v>
      </c>
      <c r="H51" s="19" t="s">
        <v>238</v>
      </c>
    </row>
    <row r="52" spans="1:8">
      <c r="A52" s="16" t="s">
        <v>239</v>
      </c>
      <c r="B52" s="17" t="s">
        <v>257</v>
      </c>
      <c r="C52" s="17" t="s">
        <v>238</v>
      </c>
      <c r="D52" s="18">
        <v>21000</v>
      </c>
      <c r="E52" s="17" t="s">
        <v>238</v>
      </c>
      <c r="F52" s="17" t="s">
        <v>238</v>
      </c>
      <c r="G52" s="17" t="s">
        <v>238</v>
      </c>
      <c r="H52" s="19" t="s">
        <v>238</v>
      </c>
    </row>
    <row r="53" spans="1:8">
      <c r="A53" s="16" t="s">
        <v>238</v>
      </c>
      <c r="B53" s="17" t="s">
        <v>238</v>
      </c>
      <c r="C53" s="17" t="s">
        <v>238</v>
      </c>
      <c r="D53" s="20">
        <v>190000</v>
      </c>
      <c r="E53" s="17" t="s">
        <v>238</v>
      </c>
      <c r="F53" s="17" t="s">
        <v>238</v>
      </c>
      <c r="G53" s="17" t="s">
        <v>238</v>
      </c>
      <c r="H53" s="21">
        <v>190000</v>
      </c>
    </row>
    <row r="54" spans="1:8">
      <c r="A54" s="22" t="s">
        <v>238</v>
      </c>
      <c r="B54" s="23" t="s">
        <v>238</v>
      </c>
      <c r="C54" s="23" t="s">
        <v>238</v>
      </c>
      <c r="D54" s="23" t="s">
        <v>238</v>
      </c>
      <c r="E54" s="23" t="s">
        <v>246</v>
      </c>
      <c r="F54" s="23" t="s">
        <v>252</v>
      </c>
      <c r="G54" s="23" t="s">
        <v>238</v>
      </c>
      <c r="H54" s="27">
        <v>21000</v>
      </c>
    </row>
    <row r="55" spans="1:8">
      <c r="A55" s="109"/>
      <c r="B55" s="109"/>
      <c r="C55" s="109"/>
      <c r="D55" s="109"/>
      <c r="E55" s="109"/>
      <c r="F55" s="109"/>
      <c r="G55" s="109"/>
      <c r="H55" s="109"/>
    </row>
    <row r="56" spans="1:8" ht="18.75">
      <c r="A56" s="8" t="s">
        <v>258</v>
      </c>
      <c r="B56" s="108" t="s">
        <v>259</v>
      </c>
      <c r="C56" s="108"/>
      <c r="D56" s="108"/>
      <c r="E56" s="108"/>
      <c r="F56" s="108"/>
      <c r="G56" s="108"/>
      <c r="H56" s="8" t="s">
        <v>198</v>
      </c>
    </row>
    <row r="57" spans="1:8" s="31" customFormat="1" ht="18.75">
      <c r="A57" s="29" t="s">
        <v>24</v>
      </c>
      <c r="B57" s="30" t="s">
        <v>199</v>
      </c>
      <c r="C57" s="30" t="s">
        <v>235</v>
      </c>
      <c r="D57" s="30" t="s">
        <v>201</v>
      </c>
      <c r="E57" s="30" t="s">
        <v>24</v>
      </c>
      <c r="F57" s="30" t="s">
        <v>199</v>
      </c>
      <c r="G57" s="30" t="s">
        <v>235</v>
      </c>
      <c r="H57" s="11" t="s">
        <v>201</v>
      </c>
    </row>
    <row r="58" spans="1:8">
      <c r="A58" s="12" t="s">
        <v>251</v>
      </c>
      <c r="B58" s="13" t="s">
        <v>247</v>
      </c>
      <c r="C58" s="13" t="s">
        <v>238</v>
      </c>
      <c r="D58" s="14">
        <v>70000</v>
      </c>
      <c r="E58" s="13" t="s">
        <v>260</v>
      </c>
      <c r="F58" s="13" t="s">
        <v>261</v>
      </c>
      <c r="G58" s="13" t="s">
        <v>238</v>
      </c>
      <c r="H58" s="15">
        <v>10000</v>
      </c>
    </row>
    <row r="59" spans="1:8">
      <c r="A59" s="16" t="s">
        <v>262</v>
      </c>
      <c r="B59" s="17" t="s">
        <v>263</v>
      </c>
      <c r="C59" s="17" t="s">
        <v>238</v>
      </c>
      <c r="D59" s="18">
        <v>160000</v>
      </c>
      <c r="E59" s="17" t="s">
        <v>264</v>
      </c>
      <c r="F59" s="17" t="s">
        <v>265</v>
      </c>
      <c r="G59" s="17" t="s">
        <v>238</v>
      </c>
      <c r="H59" s="26">
        <v>210000</v>
      </c>
    </row>
    <row r="60" spans="1:8">
      <c r="A60" s="16" t="s">
        <v>238</v>
      </c>
      <c r="B60" s="17" t="s">
        <v>238</v>
      </c>
      <c r="C60" s="17" t="s">
        <v>238</v>
      </c>
      <c r="D60" s="17" t="s">
        <v>238</v>
      </c>
      <c r="E60" s="17" t="s">
        <v>264</v>
      </c>
      <c r="F60" s="17" t="s">
        <v>266</v>
      </c>
      <c r="G60" s="17" t="s">
        <v>238</v>
      </c>
      <c r="H60" s="26">
        <v>6000</v>
      </c>
    </row>
    <row r="61" spans="1:8">
      <c r="A61" s="16" t="s">
        <v>238</v>
      </c>
      <c r="B61" s="17" t="s">
        <v>238</v>
      </c>
      <c r="C61" s="17" t="s">
        <v>238</v>
      </c>
      <c r="D61" s="17" t="s">
        <v>238</v>
      </c>
      <c r="E61" s="17" t="s">
        <v>239</v>
      </c>
      <c r="F61" s="17" t="s">
        <v>240</v>
      </c>
      <c r="G61" s="17" t="s">
        <v>238</v>
      </c>
      <c r="H61" s="26">
        <v>4000</v>
      </c>
    </row>
    <row r="62" spans="1:8">
      <c r="A62" s="16" t="s">
        <v>238</v>
      </c>
      <c r="B62" s="17" t="s">
        <v>238</v>
      </c>
      <c r="C62" s="17" t="s">
        <v>238</v>
      </c>
      <c r="D62" s="20">
        <v>230000</v>
      </c>
      <c r="E62" s="17" t="s">
        <v>238</v>
      </c>
      <c r="F62" s="17" t="s">
        <v>238</v>
      </c>
      <c r="G62" s="17" t="s">
        <v>238</v>
      </c>
      <c r="H62" s="21">
        <v>230000</v>
      </c>
    </row>
    <row r="63" spans="1:8">
      <c r="A63" s="22" t="s">
        <v>246</v>
      </c>
      <c r="B63" s="23" t="s">
        <v>247</v>
      </c>
      <c r="C63" s="23" t="s">
        <v>238</v>
      </c>
      <c r="D63" s="28">
        <v>4000</v>
      </c>
      <c r="E63" s="23" t="s">
        <v>238</v>
      </c>
      <c r="F63" s="23" t="s">
        <v>238</v>
      </c>
      <c r="G63" s="23" t="s">
        <v>238</v>
      </c>
      <c r="H63" s="25" t="s">
        <v>238</v>
      </c>
    </row>
    <row r="64" spans="1:8">
      <c r="A64" s="109"/>
      <c r="B64" s="109"/>
      <c r="C64" s="109"/>
      <c r="D64" s="109"/>
      <c r="E64" s="109"/>
      <c r="F64" s="109"/>
      <c r="G64" s="109"/>
      <c r="H64" s="109"/>
    </row>
    <row r="65" spans="1:8" ht="18.75">
      <c r="A65" s="8" t="s">
        <v>101</v>
      </c>
      <c r="B65" s="108" t="s">
        <v>267</v>
      </c>
      <c r="C65" s="108"/>
      <c r="D65" s="108"/>
      <c r="E65" s="108"/>
      <c r="F65" s="108"/>
      <c r="G65" s="108"/>
      <c r="H65" s="8" t="s">
        <v>198</v>
      </c>
    </row>
    <row r="66" spans="1:8" s="31" customFormat="1" ht="18.75">
      <c r="A66" s="29" t="s">
        <v>24</v>
      </c>
      <c r="B66" s="30" t="s">
        <v>199</v>
      </c>
      <c r="C66" s="30" t="s">
        <v>235</v>
      </c>
      <c r="D66" s="30" t="s">
        <v>201</v>
      </c>
      <c r="E66" s="30" t="s">
        <v>24</v>
      </c>
      <c r="F66" s="30" t="s">
        <v>199</v>
      </c>
      <c r="G66" s="30" t="s">
        <v>235</v>
      </c>
      <c r="H66" s="11" t="s">
        <v>201</v>
      </c>
    </row>
    <row r="67" spans="1:8">
      <c r="A67" s="12" t="s">
        <v>239</v>
      </c>
      <c r="B67" s="13" t="s">
        <v>257</v>
      </c>
      <c r="C67" s="13" t="s">
        <v>238</v>
      </c>
      <c r="D67" s="14">
        <v>355000</v>
      </c>
      <c r="E67" s="13" t="s">
        <v>262</v>
      </c>
      <c r="F67" s="13" t="s">
        <v>268</v>
      </c>
      <c r="G67" s="13" t="s">
        <v>238</v>
      </c>
      <c r="H67" s="15">
        <v>160000</v>
      </c>
    </row>
    <row r="68" spans="1:8">
      <c r="A68" s="16" t="s">
        <v>238</v>
      </c>
      <c r="B68" s="17" t="s">
        <v>238</v>
      </c>
      <c r="C68" s="17" t="s">
        <v>238</v>
      </c>
      <c r="D68" s="17" t="s">
        <v>238</v>
      </c>
      <c r="E68" s="17" t="s">
        <v>269</v>
      </c>
      <c r="F68" s="17" t="s">
        <v>265</v>
      </c>
      <c r="G68" s="17" t="s">
        <v>238</v>
      </c>
      <c r="H68" s="26">
        <v>75000</v>
      </c>
    </row>
    <row r="69" spans="1:8">
      <c r="A69" s="16" t="s">
        <v>238</v>
      </c>
      <c r="B69" s="17" t="s">
        <v>238</v>
      </c>
      <c r="C69" s="17" t="s">
        <v>238</v>
      </c>
      <c r="D69" s="17" t="s">
        <v>238</v>
      </c>
      <c r="E69" s="17" t="s">
        <v>270</v>
      </c>
      <c r="F69" s="17" t="s">
        <v>271</v>
      </c>
      <c r="G69" s="17" t="s">
        <v>238</v>
      </c>
      <c r="H69" s="26">
        <v>120000</v>
      </c>
    </row>
    <row r="70" spans="1:8">
      <c r="A70" s="16" t="s">
        <v>238</v>
      </c>
      <c r="B70" s="17" t="s">
        <v>238</v>
      </c>
      <c r="C70" s="17" t="s">
        <v>238</v>
      </c>
      <c r="D70" s="17" t="s">
        <v>238</v>
      </c>
      <c r="E70" s="17" t="s">
        <v>238</v>
      </c>
      <c r="F70" s="17" t="s">
        <v>238</v>
      </c>
      <c r="G70" s="17" t="s">
        <v>238</v>
      </c>
      <c r="H70" s="19" t="s">
        <v>238</v>
      </c>
    </row>
    <row r="71" spans="1:8">
      <c r="A71" s="16" t="s">
        <v>238</v>
      </c>
      <c r="B71" s="17" t="s">
        <v>238</v>
      </c>
      <c r="C71" s="17" t="s">
        <v>238</v>
      </c>
      <c r="D71" s="20">
        <v>355000</v>
      </c>
      <c r="E71" s="17" t="s">
        <v>238</v>
      </c>
      <c r="F71" s="17" t="s">
        <v>238</v>
      </c>
      <c r="G71" s="17" t="s">
        <v>238</v>
      </c>
      <c r="H71" s="21">
        <v>355000</v>
      </c>
    </row>
    <row r="72" spans="1:8">
      <c r="A72" s="22" t="s">
        <v>238</v>
      </c>
      <c r="B72" s="23" t="s">
        <v>238</v>
      </c>
      <c r="C72" s="23" t="s">
        <v>238</v>
      </c>
      <c r="D72" s="23" t="s">
        <v>238</v>
      </c>
      <c r="E72" s="23" t="s">
        <v>246</v>
      </c>
      <c r="F72" s="23" t="s">
        <v>252</v>
      </c>
      <c r="G72" s="23" t="s">
        <v>238</v>
      </c>
      <c r="H72" s="27">
        <v>355000</v>
      </c>
    </row>
    <row r="73" spans="1:8">
      <c r="A73" s="109"/>
      <c r="B73" s="109"/>
      <c r="C73" s="109"/>
      <c r="D73" s="109"/>
      <c r="E73" s="109"/>
      <c r="F73" s="109"/>
      <c r="G73" s="109"/>
      <c r="H73" s="109"/>
    </row>
    <row r="74" spans="1:8" ht="18.75">
      <c r="A74" s="8" t="s">
        <v>258</v>
      </c>
      <c r="B74" s="108" t="s">
        <v>272</v>
      </c>
      <c r="C74" s="108"/>
      <c r="D74" s="108"/>
      <c r="E74" s="108"/>
      <c r="F74" s="108"/>
      <c r="G74" s="108"/>
      <c r="H74" s="8" t="s">
        <v>198</v>
      </c>
    </row>
    <row r="75" spans="1:8" s="31" customFormat="1" ht="18.75">
      <c r="A75" s="29" t="s">
        <v>24</v>
      </c>
      <c r="B75" s="30" t="s">
        <v>199</v>
      </c>
      <c r="C75" s="30" t="s">
        <v>235</v>
      </c>
      <c r="D75" s="30" t="s">
        <v>201</v>
      </c>
      <c r="E75" s="30" t="s">
        <v>24</v>
      </c>
      <c r="F75" s="30" t="s">
        <v>199</v>
      </c>
      <c r="G75" s="30" t="s">
        <v>235</v>
      </c>
      <c r="H75" s="11" t="s">
        <v>201</v>
      </c>
    </row>
    <row r="76" spans="1:8">
      <c r="A76" s="12" t="s">
        <v>273</v>
      </c>
      <c r="B76" s="13" t="s">
        <v>242</v>
      </c>
      <c r="C76" s="13" t="s">
        <v>238</v>
      </c>
      <c r="D76" s="14">
        <v>4500</v>
      </c>
      <c r="E76" s="13" t="s">
        <v>239</v>
      </c>
      <c r="F76" s="13" t="s">
        <v>240</v>
      </c>
      <c r="G76" s="13" t="s">
        <v>238</v>
      </c>
      <c r="H76" s="15">
        <v>4500</v>
      </c>
    </row>
    <row r="77" spans="1:8">
      <c r="A77" s="16" t="s">
        <v>238</v>
      </c>
      <c r="B77" s="17" t="s">
        <v>238</v>
      </c>
      <c r="C77" s="17" t="s">
        <v>238</v>
      </c>
      <c r="D77" s="17" t="s">
        <v>238</v>
      </c>
      <c r="E77" s="17" t="s">
        <v>238</v>
      </c>
      <c r="F77" s="17" t="s">
        <v>238</v>
      </c>
      <c r="G77" s="17" t="s">
        <v>238</v>
      </c>
      <c r="H77" s="19" t="s">
        <v>238</v>
      </c>
    </row>
    <row r="78" spans="1:8">
      <c r="A78" s="16" t="s">
        <v>238</v>
      </c>
      <c r="B78" s="17" t="s">
        <v>238</v>
      </c>
      <c r="C78" s="17" t="s">
        <v>238</v>
      </c>
      <c r="D78" s="20">
        <v>4500</v>
      </c>
      <c r="E78" s="17" t="s">
        <v>238</v>
      </c>
      <c r="F78" s="17" t="s">
        <v>238</v>
      </c>
      <c r="G78" s="17" t="s">
        <v>238</v>
      </c>
      <c r="H78" s="21">
        <v>4500</v>
      </c>
    </row>
    <row r="79" spans="1:8">
      <c r="A79" s="22" t="s">
        <v>246</v>
      </c>
      <c r="B79" s="23" t="s">
        <v>247</v>
      </c>
      <c r="C79" s="23" t="s">
        <v>238</v>
      </c>
      <c r="D79" s="28">
        <v>4500</v>
      </c>
      <c r="E79" s="23" t="s">
        <v>238</v>
      </c>
      <c r="F79" s="23" t="s">
        <v>238</v>
      </c>
      <c r="G79" s="23" t="s">
        <v>238</v>
      </c>
      <c r="H79" s="25" t="s">
        <v>238</v>
      </c>
    </row>
    <row r="80" spans="1:8">
      <c r="A80" s="109"/>
      <c r="B80" s="109"/>
      <c r="C80" s="109"/>
      <c r="D80" s="109"/>
      <c r="E80" s="109"/>
      <c r="F80" s="109"/>
      <c r="G80" s="109"/>
      <c r="H80" s="109"/>
    </row>
    <row r="81" spans="1:8" ht="18.75">
      <c r="A81" s="8" t="s">
        <v>101</v>
      </c>
      <c r="B81" s="108" t="s">
        <v>274</v>
      </c>
      <c r="C81" s="108"/>
      <c r="D81" s="108"/>
      <c r="E81" s="108"/>
      <c r="F81" s="108"/>
      <c r="G81" s="108"/>
      <c r="H81" s="8" t="s">
        <v>198</v>
      </c>
    </row>
    <row r="82" spans="1:8" s="31" customFormat="1" ht="18.75">
      <c r="A82" s="29" t="s">
        <v>24</v>
      </c>
      <c r="B82" s="30" t="s">
        <v>199</v>
      </c>
      <c r="C82" s="30" t="s">
        <v>235</v>
      </c>
      <c r="D82" s="30" t="s">
        <v>201</v>
      </c>
      <c r="E82" s="30" t="s">
        <v>24</v>
      </c>
      <c r="F82" s="30" t="s">
        <v>199</v>
      </c>
      <c r="G82" s="30" t="s">
        <v>235</v>
      </c>
      <c r="H82" s="11" t="s">
        <v>201</v>
      </c>
    </row>
    <row r="83" spans="1:8">
      <c r="A83" s="12" t="s">
        <v>275</v>
      </c>
      <c r="B83" s="13" t="s">
        <v>242</v>
      </c>
      <c r="C83" s="13" t="s">
        <v>238</v>
      </c>
      <c r="D83" s="14">
        <v>15000</v>
      </c>
      <c r="E83" s="13" t="s">
        <v>239</v>
      </c>
      <c r="F83" s="13" t="s">
        <v>240</v>
      </c>
      <c r="G83" s="13" t="s">
        <v>238</v>
      </c>
      <c r="H83" s="15">
        <v>15000</v>
      </c>
    </row>
    <row r="84" spans="1:8">
      <c r="A84" s="16" t="s">
        <v>238</v>
      </c>
      <c r="B84" s="17" t="s">
        <v>238</v>
      </c>
      <c r="C84" s="17" t="s">
        <v>238</v>
      </c>
      <c r="D84" s="17" t="s">
        <v>238</v>
      </c>
      <c r="E84" s="17" t="s">
        <v>238</v>
      </c>
      <c r="F84" s="17" t="s">
        <v>238</v>
      </c>
      <c r="G84" s="17" t="s">
        <v>238</v>
      </c>
      <c r="H84" s="19" t="s">
        <v>238</v>
      </c>
    </row>
    <row r="85" spans="1:8">
      <c r="A85" s="16" t="s">
        <v>238</v>
      </c>
      <c r="B85" s="17" t="s">
        <v>238</v>
      </c>
      <c r="C85" s="17" t="s">
        <v>238</v>
      </c>
      <c r="D85" s="20">
        <v>15000</v>
      </c>
      <c r="E85" s="17" t="s">
        <v>238</v>
      </c>
      <c r="F85" s="17" t="s">
        <v>238</v>
      </c>
      <c r="G85" s="17" t="s">
        <v>238</v>
      </c>
      <c r="H85" s="21">
        <v>15000</v>
      </c>
    </row>
    <row r="86" spans="1:8">
      <c r="A86" s="22" t="s">
        <v>246</v>
      </c>
      <c r="B86" s="23" t="s">
        <v>247</v>
      </c>
      <c r="C86" s="23" t="s">
        <v>238</v>
      </c>
      <c r="D86" s="28">
        <v>15000</v>
      </c>
      <c r="E86" s="23" t="s">
        <v>238</v>
      </c>
      <c r="F86" s="23" t="s">
        <v>238</v>
      </c>
      <c r="G86" s="23" t="s">
        <v>238</v>
      </c>
      <c r="H86" s="25" t="s">
        <v>238</v>
      </c>
    </row>
    <row r="87" spans="1:8">
      <c r="A87" s="109"/>
      <c r="B87" s="109"/>
      <c r="C87" s="109"/>
      <c r="D87" s="109"/>
      <c r="E87" s="109"/>
      <c r="F87" s="109"/>
      <c r="G87" s="109"/>
      <c r="H87" s="109"/>
    </row>
    <row r="88" spans="1:8" ht="18.75">
      <c r="A88" s="8" t="s">
        <v>101</v>
      </c>
      <c r="B88" s="108" t="s">
        <v>276</v>
      </c>
      <c r="C88" s="108"/>
      <c r="D88" s="108"/>
      <c r="E88" s="108"/>
      <c r="F88" s="108"/>
      <c r="G88" s="108"/>
      <c r="H88" s="8" t="s">
        <v>198</v>
      </c>
    </row>
    <row r="89" spans="1:8" s="31" customFormat="1" ht="18.75">
      <c r="A89" s="29" t="s">
        <v>24</v>
      </c>
      <c r="B89" s="30" t="s">
        <v>199</v>
      </c>
      <c r="C89" s="30" t="s">
        <v>235</v>
      </c>
      <c r="D89" s="30" t="s">
        <v>201</v>
      </c>
      <c r="E89" s="30" t="s">
        <v>24</v>
      </c>
      <c r="F89" s="30" t="s">
        <v>199</v>
      </c>
      <c r="G89" s="30" t="s">
        <v>235</v>
      </c>
      <c r="H89" s="11" t="s">
        <v>201</v>
      </c>
    </row>
    <row r="90" spans="1:8">
      <c r="A90" s="12" t="s">
        <v>239</v>
      </c>
      <c r="B90" s="13" t="s">
        <v>257</v>
      </c>
      <c r="C90" s="13" t="s">
        <v>238</v>
      </c>
      <c r="D90" s="14">
        <v>12000</v>
      </c>
      <c r="E90" s="13" t="s">
        <v>249</v>
      </c>
      <c r="F90" s="13" t="s">
        <v>277</v>
      </c>
      <c r="G90" s="13" t="s">
        <v>238</v>
      </c>
      <c r="H90" s="15">
        <v>12000</v>
      </c>
    </row>
    <row r="91" spans="1:8">
      <c r="A91" s="16" t="s">
        <v>238</v>
      </c>
      <c r="B91" s="17" t="s">
        <v>238</v>
      </c>
      <c r="C91" s="17" t="s">
        <v>238</v>
      </c>
      <c r="D91" s="17" t="s">
        <v>238</v>
      </c>
      <c r="E91" s="17" t="s">
        <v>238</v>
      </c>
      <c r="F91" s="17" t="s">
        <v>238</v>
      </c>
      <c r="G91" s="17" t="s">
        <v>238</v>
      </c>
      <c r="H91" s="19" t="s">
        <v>238</v>
      </c>
    </row>
    <row r="92" spans="1:8">
      <c r="A92" s="16" t="s">
        <v>238</v>
      </c>
      <c r="B92" s="17" t="s">
        <v>238</v>
      </c>
      <c r="C92" s="17" t="s">
        <v>238</v>
      </c>
      <c r="D92" s="20">
        <v>12000</v>
      </c>
      <c r="E92" s="17" t="s">
        <v>238</v>
      </c>
      <c r="F92" s="17" t="s">
        <v>238</v>
      </c>
      <c r="G92" s="17" t="s">
        <v>238</v>
      </c>
      <c r="H92" s="21">
        <v>12000</v>
      </c>
    </row>
    <row r="93" spans="1:8">
      <c r="A93" s="22" t="s">
        <v>238</v>
      </c>
      <c r="B93" s="23" t="s">
        <v>238</v>
      </c>
      <c r="C93" s="23" t="s">
        <v>238</v>
      </c>
      <c r="D93" s="23" t="s">
        <v>238</v>
      </c>
      <c r="E93" s="23" t="s">
        <v>246</v>
      </c>
      <c r="F93" s="23" t="s">
        <v>252</v>
      </c>
      <c r="G93" s="23" t="s">
        <v>238</v>
      </c>
      <c r="H93" s="27">
        <v>12000</v>
      </c>
    </row>
    <row r="94" spans="1:8">
      <c r="A94" s="109"/>
      <c r="B94" s="109"/>
      <c r="C94" s="109"/>
      <c r="D94" s="109"/>
      <c r="E94" s="109"/>
      <c r="F94" s="109"/>
      <c r="G94" s="109"/>
      <c r="H94" s="109"/>
    </row>
    <row r="95" spans="1:8" ht="18.75">
      <c r="A95" s="8" t="s">
        <v>101</v>
      </c>
      <c r="B95" s="108" t="s">
        <v>278</v>
      </c>
      <c r="C95" s="108"/>
      <c r="D95" s="108"/>
      <c r="E95" s="108"/>
      <c r="F95" s="108"/>
      <c r="G95" s="108"/>
      <c r="H95" s="8" t="s">
        <v>198</v>
      </c>
    </row>
    <row r="96" spans="1:8" s="31" customFormat="1" ht="18.75">
      <c r="A96" s="29" t="s">
        <v>24</v>
      </c>
      <c r="B96" s="30" t="s">
        <v>199</v>
      </c>
      <c r="C96" s="30" t="s">
        <v>235</v>
      </c>
      <c r="D96" s="30" t="s">
        <v>201</v>
      </c>
      <c r="E96" s="30" t="s">
        <v>24</v>
      </c>
      <c r="F96" s="30" t="s">
        <v>199</v>
      </c>
      <c r="G96" s="30" t="s">
        <v>235</v>
      </c>
      <c r="H96" s="11" t="s">
        <v>201</v>
      </c>
    </row>
    <row r="97" spans="1:8">
      <c r="A97" s="12" t="s">
        <v>260</v>
      </c>
      <c r="B97" s="13" t="s">
        <v>279</v>
      </c>
      <c r="C97" s="13" t="s">
        <v>238</v>
      </c>
      <c r="D97" s="14">
        <v>10000</v>
      </c>
      <c r="E97" s="13" t="s">
        <v>239</v>
      </c>
      <c r="F97" s="13" t="s">
        <v>240</v>
      </c>
      <c r="G97" s="13" t="s">
        <v>238</v>
      </c>
      <c r="H97" s="15">
        <v>10000</v>
      </c>
    </row>
    <row r="98" spans="1:8">
      <c r="A98" s="16" t="s">
        <v>238</v>
      </c>
      <c r="B98" s="17" t="s">
        <v>238</v>
      </c>
      <c r="C98" s="17" t="s">
        <v>238</v>
      </c>
      <c r="D98" s="17" t="s">
        <v>238</v>
      </c>
      <c r="E98" s="17" t="s">
        <v>238</v>
      </c>
      <c r="F98" s="17" t="s">
        <v>238</v>
      </c>
      <c r="G98" s="17" t="s">
        <v>238</v>
      </c>
      <c r="H98" s="19" t="s">
        <v>238</v>
      </c>
    </row>
    <row r="99" spans="1:8">
      <c r="A99" s="16" t="s">
        <v>238</v>
      </c>
      <c r="B99" s="17" t="s">
        <v>238</v>
      </c>
      <c r="C99" s="17" t="s">
        <v>238</v>
      </c>
      <c r="D99" s="20">
        <v>10000</v>
      </c>
      <c r="E99" s="17" t="s">
        <v>238</v>
      </c>
      <c r="F99" s="17" t="s">
        <v>238</v>
      </c>
      <c r="G99" s="17" t="s">
        <v>238</v>
      </c>
      <c r="H99" s="21">
        <v>10000</v>
      </c>
    </row>
    <row r="100" spans="1:8">
      <c r="A100" s="22" t="s">
        <v>246</v>
      </c>
      <c r="B100" s="23" t="s">
        <v>247</v>
      </c>
      <c r="C100" s="23" t="s">
        <v>238</v>
      </c>
      <c r="D100" s="28">
        <v>10000</v>
      </c>
      <c r="E100" s="23" t="s">
        <v>238</v>
      </c>
      <c r="F100" s="23" t="s">
        <v>238</v>
      </c>
      <c r="G100" s="23" t="s">
        <v>238</v>
      </c>
      <c r="H100" s="25" t="s">
        <v>238</v>
      </c>
    </row>
    <row r="101" spans="1:8">
      <c r="A101" s="109"/>
      <c r="B101" s="109"/>
      <c r="C101" s="109"/>
      <c r="D101" s="109"/>
      <c r="E101" s="109"/>
      <c r="F101" s="109"/>
      <c r="G101" s="109"/>
      <c r="H101" s="109"/>
    </row>
    <row r="102" spans="1:8" ht="18.75">
      <c r="A102" s="8" t="s">
        <v>101</v>
      </c>
      <c r="B102" s="108" t="s">
        <v>280</v>
      </c>
      <c r="C102" s="108"/>
      <c r="D102" s="108"/>
      <c r="E102" s="108"/>
      <c r="F102" s="108"/>
      <c r="G102" s="108"/>
      <c r="H102" s="8" t="s">
        <v>198</v>
      </c>
    </row>
    <row r="103" spans="1:8" s="31" customFormat="1" ht="18.75">
      <c r="A103" s="29" t="s">
        <v>24</v>
      </c>
      <c r="B103" s="30" t="s">
        <v>199</v>
      </c>
      <c r="C103" s="30" t="s">
        <v>235</v>
      </c>
      <c r="D103" s="30" t="s">
        <v>201</v>
      </c>
      <c r="E103" s="30" t="s">
        <v>24</v>
      </c>
      <c r="F103" s="30" t="s">
        <v>199</v>
      </c>
      <c r="G103" s="30" t="s">
        <v>235</v>
      </c>
      <c r="H103" s="11" t="s">
        <v>201</v>
      </c>
    </row>
    <row r="104" spans="1:8">
      <c r="A104" s="12" t="s">
        <v>281</v>
      </c>
      <c r="B104" s="13" t="s">
        <v>254</v>
      </c>
      <c r="C104" s="13" t="s">
        <v>238</v>
      </c>
      <c r="D104" s="14">
        <v>50000</v>
      </c>
      <c r="E104" s="13" t="s">
        <v>239</v>
      </c>
      <c r="F104" s="13" t="s">
        <v>240</v>
      </c>
      <c r="G104" s="13" t="s">
        <v>238</v>
      </c>
      <c r="H104" s="15">
        <v>50000</v>
      </c>
    </row>
    <row r="105" spans="1:8">
      <c r="A105" s="16" t="s">
        <v>238</v>
      </c>
      <c r="B105" s="17" t="s">
        <v>238</v>
      </c>
      <c r="C105" s="17" t="s">
        <v>238</v>
      </c>
      <c r="D105" s="17" t="s">
        <v>238</v>
      </c>
      <c r="E105" s="17" t="s">
        <v>238</v>
      </c>
      <c r="F105" s="17" t="s">
        <v>238</v>
      </c>
      <c r="G105" s="17" t="s">
        <v>238</v>
      </c>
      <c r="H105" s="19" t="s">
        <v>238</v>
      </c>
    </row>
    <row r="106" spans="1:8">
      <c r="A106" s="16" t="s">
        <v>238</v>
      </c>
      <c r="B106" s="17" t="s">
        <v>238</v>
      </c>
      <c r="C106" s="17" t="s">
        <v>238</v>
      </c>
      <c r="D106" s="20">
        <v>50000</v>
      </c>
      <c r="E106" s="17" t="s">
        <v>238</v>
      </c>
      <c r="F106" s="17" t="s">
        <v>238</v>
      </c>
      <c r="G106" s="17" t="s">
        <v>238</v>
      </c>
      <c r="H106" s="21">
        <v>50000</v>
      </c>
    </row>
    <row r="107" spans="1:8">
      <c r="A107" s="22" t="s">
        <v>246</v>
      </c>
      <c r="B107" s="23" t="s">
        <v>247</v>
      </c>
      <c r="C107" s="23" t="s">
        <v>238</v>
      </c>
      <c r="D107" s="28">
        <v>50000</v>
      </c>
      <c r="E107" s="23" t="s">
        <v>238</v>
      </c>
      <c r="F107" s="23" t="s">
        <v>238</v>
      </c>
      <c r="G107" s="23" t="s">
        <v>238</v>
      </c>
      <c r="H107" s="25" t="s">
        <v>238</v>
      </c>
    </row>
    <row r="108" spans="1:8">
      <c r="A108" s="109"/>
      <c r="B108" s="109"/>
      <c r="C108" s="109"/>
      <c r="D108" s="109"/>
      <c r="E108" s="109"/>
      <c r="F108" s="109"/>
      <c r="G108" s="109"/>
      <c r="H108" s="109"/>
    </row>
    <row r="109" spans="1:8" ht="18.75">
      <c r="A109" s="8" t="s">
        <v>258</v>
      </c>
      <c r="B109" s="108" t="s">
        <v>282</v>
      </c>
      <c r="C109" s="108"/>
      <c r="D109" s="108"/>
      <c r="E109" s="108"/>
      <c r="F109" s="108"/>
      <c r="G109" s="108"/>
      <c r="H109" s="8" t="s">
        <v>198</v>
      </c>
    </row>
    <row r="110" spans="1:8" s="31" customFormat="1" ht="18.75">
      <c r="A110" s="29" t="s">
        <v>24</v>
      </c>
      <c r="B110" s="30" t="s">
        <v>199</v>
      </c>
      <c r="C110" s="30" t="s">
        <v>235</v>
      </c>
      <c r="D110" s="30" t="s">
        <v>201</v>
      </c>
      <c r="E110" s="30" t="s">
        <v>24</v>
      </c>
      <c r="F110" s="30" t="s">
        <v>199</v>
      </c>
      <c r="G110" s="30" t="s">
        <v>235</v>
      </c>
      <c r="H110" s="11" t="s">
        <v>201</v>
      </c>
    </row>
    <row r="111" spans="1:8">
      <c r="A111" s="12" t="s">
        <v>251</v>
      </c>
      <c r="B111" s="13" t="s">
        <v>247</v>
      </c>
      <c r="C111" s="13" t="s">
        <v>238</v>
      </c>
      <c r="D111" s="14">
        <v>120000</v>
      </c>
      <c r="E111" s="13" t="s">
        <v>281</v>
      </c>
      <c r="F111" s="13" t="s">
        <v>283</v>
      </c>
      <c r="G111" s="13" t="s">
        <v>238</v>
      </c>
      <c r="H111" s="15">
        <v>50000</v>
      </c>
    </row>
    <row r="112" spans="1:8">
      <c r="A112" s="16" t="s">
        <v>284</v>
      </c>
      <c r="B112" s="17" t="s">
        <v>285</v>
      </c>
      <c r="C112" s="17" t="s">
        <v>238</v>
      </c>
      <c r="D112" s="18">
        <v>110000</v>
      </c>
      <c r="E112" s="17" t="s">
        <v>253</v>
      </c>
      <c r="F112" s="17" t="s">
        <v>277</v>
      </c>
      <c r="G112" s="17" t="s">
        <v>238</v>
      </c>
      <c r="H112" s="26">
        <v>150000</v>
      </c>
    </row>
    <row r="113" spans="1:8">
      <c r="A113" s="16" t="s">
        <v>286</v>
      </c>
      <c r="B113" s="17" t="s">
        <v>287</v>
      </c>
      <c r="C113" s="17" t="s">
        <v>238</v>
      </c>
      <c r="D113" s="18">
        <v>3000</v>
      </c>
      <c r="E113" s="17" t="s">
        <v>288</v>
      </c>
      <c r="F113" s="17" t="s">
        <v>289</v>
      </c>
      <c r="G113" s="17" t="s">
        <v>238</v>
      </c>
      <c r="H113" s="26">
        <v>20000</v>
      </c>
    </row>
    <row r="114" spans="1:8">
      <c r="A114" s="16" t="s">
        <v>290</v>
      </c>
      <c r="B114" s="17" t="s">
        <v>254</v>
      </c>
      <c r="C114" s="17" t="s">
        <v>238</v>
      </c>
      <c r="D114" s="18">
        <v>40000</v>
      </c>
      <c r="E114" s="17" t="s">
        <v>291</v>
      </c>
      <c r="F114" s="17" t="s">
        <v>292</v>
      </c>
      <c r="G114" s="17" t="s">
        <v>238</v>
      </c>
      <c r="H114" s="26">
        <v>6000</v>
      </c>
    </row>
    <row r="115" spans="1:8">
      <c r="A115" s="16" t="s">
        <v>238</v>
      </c>
      <c r="B115" s="17" t="s">
        <v>238</v>
      </c>
      <c r="C115" s="17" t="s">
        <v>238</v>
      </c>
      <c r="D115" s="17" t="s">
        <v>238</v>
      </c>
      <c r="E115" s="17" t="s">
        <v>239</v>
      </c>
      <c r="F115" s="17" t="s">
        <v>240</v>
      </c>
      <c r="G115" s="17" t="s">
        <v>238</v>
      </c>
      <c r="H115" s="26">
        <v>47000</v>
      </c>
    </row>
    <row r="116" spans="1:8">
      <c r="A116" s="16" t="s">
        <v>238</v>
      </c>
      <c r="B116" s="17" t="s">
        <v>238</v>
      </c>
      <c r="C116" s="17" t="s">
        <v>238</v>
      </c>
      <c r="D116" s="20">
        <v>273000</v>
      </c>
      <c r="E116" s="17" t="s">
        <v>238</v>
      </c>
      <c r="F116" s="17" t="s">
        <v>238</v>
      </c>
      <c r="G116" s="17" t="s">
        <v>238</v>
      </c>
      <c r="H116" s="21">
        <v>273000</v>
      </c>
    </row>
    <row r="117" spans="1:8">
      <c r="A117" s="22" t="s">
        <v>246</v>
      </c>
      <c r="B117" s="23" t="s">
        <v>247</v>
      </c>
      <c r="C117" s="23" t="s">
        <v>238</v>
      </c>
      <c r="D117" s="28">
        <v>47000</v>
      </c>
      <c r="E117" s="23" t="s">
        <v>238</v>
      </c>
      <c r="F117" s="23" t="s">
        <v>238</v>
      </c>
      <c r="G117" s="23" t="s">
        <v>238</v>
      </c>
      <c r="H117" s="25" t="s">
        <v>238</v>
      </c>
    </row>
    <row r="118" spans="1:8">
      <c r="A118" s="109"/>
      <c r="B118" s="109"/>
      <c r="C118" s="109"/>
      <c r="D118" s="109"/>
      <c r="E118" s="109"/>
      <c r="F118" s="109"/>
      <c r="G118" s="109"/>
      <c r="H118" s="109"/>
    </row>
    <row r="119" spans="1:8" ht="18.75">
      <c r="A119" s="8" t="s">
        <v>101</v>
      </c>
      <c r="B119" s="108" t="s">
        <v>293</v>
      </c>
      <c r="C119" s="108"/>
      <c r="D119" s="108"/>
      <c r="E119" s="108"/>
      <c r="F119" s="108"/>
      <c r="G119" s="108"/>
      <c r="H119" s="8" t="s">
        <v>198</v>
      </c>
    </row>
    <row r="120" spans="1:8" s="31" customFormat="1" ht="18.75">
      <c r="A120" s="29" t="s">
        <v>24</v>
      </c>
      <c r="B120" s="30" t="s">
        <v>199</v>
      </c>
      <c r="C120" s="30" t="s">
        <v>235</v>
      </c>
      <c r="D120" s="30" t="s">
        <v>201</v>
      </c>
      <c r="E120" s="30" t="s">
        <v>24</v>
      </c>
      <c r="F120" s="30" t="s">
        <v>199</v>
      </c>
      <c r="G120" s="30" t="s">
        <v>235</v>
      </c>
      <c r="H120" s="11" t="s">
        <v>201</v>
      </c>
    </row>
    <row r="121" spans="1:8">
      <c r="A121" s="12" t="s">
        <v>294</v>
      </c>
      <c r="B121" s="13" t="s">
        <v>242</v>
      </c>
      <c r="C121" s="13" t="s">
        <v>238</v>
      </c>
      <c r="D121" s="14">
        <v>22000</v>
      </c>
      <c r="E121" s="13" t="s">
        <v>239</v>
      </c>
      <c r="F121" s="13" t="s">
        <v>240</v>
      </c>
      <c r="G121" s="13" t="s">
        <v>238</v>
      </c>
      <c r="H121" s="15">
        <v>22000</v>
      </c>
    </row>
    <row r="122" spans="1:8">
      <c r="A122" s="16" t="s">
        <v>238</v>
      </c>
      <c r="B122" s="17" t="s">
        <v>238</v>
      </c>
      <c r="C122" s="17" t="s">
        <v>238</v>
      </c>
      <c r="D122" s="17" t="s">
        <v>238</v>
      </c>
      <c r="E122" s="17" t="s">
        <v>238</v>
      </c>
      <c r="F122" s="17" t="s">
        <v>238</v>
      </c>
      <c r="G122" s="17" t="s">
        <v>238</v>
      </c>
      <c r="H122" s="19" t="s">
        <v>238</v>
      </c>
    </row>
    <row r="123" spans="1:8">
      <c r="A123" s="16" t="s">
        <v>238</v>
      </c>
      <c r="B123" s="17" t="s">
        <v>238</v>
      </c>
      <c r="C123" s="17" t="s">
        <v>238</v>
      </c>
      <c r="D123" s="20">
        <v>22000</v>
      </c>
      <c r="E123" s="17" t="s">
        <v>238</v>
      </c>
      <c r="F123" s="17" t="s">
        <v>238</v>
      </c>
      <c r="G123" s="17" t="s">
        <v>238</v>
      </c>
      <c r="H123" s="21">
        <v>22000</v>
      </c>
    </row>
    <row r="124" spans="1:8">
      <c r="A124" s="22" t="s">
        <v>246</v>
      </c>
      <c r="B124" s="23" t="s">
        <v>247</v>
      </c>
      <c r="C124" s="23" t="s">
        <v>238</v>
      </c>
      <c r="D124" s="28">
        <v>22000</v>
      </c>
      <c r="E124" s="23" t="s">
        <v>238</v>
      </c>
      <c r="F124" s="23" t="s">
        <v>238</v>
      </c>
      <c r="G124" s="23" t="s">
        <v>238</v>
      </c>
      <c r="H124" s="25" t="s">
        <v>238</v>
      </c>
    </row>
    <row r="125" spans="1:8">
      <c r="A125" s="109"/>
      <c r="B125" s="109"/>
      <c r="C125" s="109"/>
      <c r="D125" s="109"/>
      <c r="E125" s="109"/>
      <c r="F125" s="109"/>
      <c r="G125" s="109"/>
      <c r="H125" s="109"/>
    </row>
    <row r="126" spans="1:8" ht="18.75">
      <c r="A126" s="8" t="s">
        <v>101</v>
      </c>
      <c r="B126" s="108" t="s">
        <v>295</v>
      </c>
      <c r="C126" s="108"/>
      <c r="D126" s="108"/>
      <c r="E126" s="108"/>
      <c r="F126" s="108"/>
      <c r="G126" s="108"/>
      <c r="H126" s="8" t="s">
        <v>198</v>
      </c>
    </row>
    <row r="127" spans="1:8" s="31" customFormat="1" ht="18.75">
      <c r="A127" s="29" t="s">
        <v>24</v>
      </c>
      <c r="B127" s="30" t="s">
        <v>199</v>
      </c>
      <c r="C127" s="30" t="s">
        <v>235</v>
      </c>
      <c r="D127" s="30" t="s">
        <v>201</v>
      </c>
      <c r="E127" s="30" t="s">
        <v>24</v>
      </c>
      <c r="F127" s="30" t="s">
        <v>199</v>
      </c>
      <c r="G127" s="30" t="s">
        <v>235</v>
      </c>
      <c r="H127" s="11" t="s">
        <v>201</v>
      </c>
    </row>
    <row r="128" spans="1:8">
      <c r="A128" s="12" t="s">
        <v>264</v>
      </c>
      <c r="B128" s="13" t="s">
        <v>296</v>
      </c>
      <c r="C128" s="13" t="s">
        <v>238</v>
      </c>
      <c r="D128" s="14">
        <v>6000</v>
      </c>
      <c r="E128" s="13" t="s">
        <v>239</v>
      </c>
      <c r="F128" s="13" t="s">
        <v>240</v>
      </c>
      <c r="G128" s="13" t="s">
        <v>238</v>
      </c>
      <c r="H128" s="15">
        <v>6000</v>
      </c>
    </row>
    <row r="129" spans="1:8">
      <c r="A129" s="16" t="s">
        <v>238</v>
      </c>
      <c r="B129" s="17" t="s">
        <v>238</v>
      </c>
      <c r="C129" s="17" t="s">
        <v>238</v>
      </c>
      <c r="D129" s="17" t="s">
        <v>238</v>
      </c>
      <c r="E129" s="17" t="s">
        <v>238</v>
      </c>
      <c r="F129" s="17" t="s">
        <v>238</v>
      </c>
      <c r="G129" s="17" t="s">
        <v>238</v>
      </c>
      <c r="H129" s="19" t="s">
        <v>238</v>
      </c>
    </row>
    <row r="130" spans="1:8">
      <c r="A130" s="16" t="s">
        <v>238</v>
      </c>
      <c r="B130" s="17" t="s">
        <v>238</v>
      </c>
      <c r="C130" s="17" t="s">
        <v>238</v>
      </c>
      <c r="D130" s="20">
        <v>6000</v>
      </c>
      <c r="E130" s="17" t="s">
        <v>238</v>
      </c>
      <c r="F130" s="17" t="s">
        <v>238</v>
      </c>
      <c r="G130" s="17" t="s">
        <v>238</v>
      </c>
      <c r="H130" s="21">
        <v>6000</v>
      </c>
    </row>
    <row r="131" spans="1:8">
      <c r="A131" s="22" t="s">
        <v>246</v>
      </c>
      <c r="B131" s="23" t="s">
        <v>247</v>
      </c>
      <c r="C131" s="23" t="s">
        <v>238</v>
      </c>
      <c r="D131" s="28">
        <v>6000</v>
      </c>
      <c r="E131" s="23" t="s">
        <v>238</v>
      </c>
      <c r="F131" s="23" t="s">
        <v>238</v>
      </c>
      <c r="G131" s="23" t="s">
        <v>238</v>
      </c>
      <c r="H131" s="25" t="s">
        <v>238</v>
      </c>
    </row>
    <row r="132" spans="1:8">
      <c r="A132" s="109"/>
      <c r="B132" s="109"/>
      <c r="C132" s="109"/>
      <c r="D132" s="109"/>
      <c r="E132" s="109"/>
      <c r="F132" s="109"/>
      <c r="G132" s="109"/>
      <c r="H132" s="109"/>
    </row>
    <row r="133" spans="1:8" ht="18.75">
      <c r="A133" s="8" t="s">
        <v>258</v>
      </c>
      <c r="B133" s="108" t="s">
        <v>297</v>
      </c>
      <c r="C133" s="108"/>
      <c r="D133" s="108"/>
      <c r="E133" s="108"/>
      <c r="F133" s="108"/>
      <c r="G133" s="108"/>
      <c r="H133" s="8" t="s">
        <v>198</v>
      </c>
    </row>
    <row r="134" spans="1:8" s="31" customFormat="1" ht="18.75">
      <c r="A134" s="29" t="s">
        <v>24</v>
      </c>
      <c r="B134" s="30" t="s">
        <v>199</v>
      </c>
      <c r="C134" s="30" t="s">
        <v>235</v>
      </c>
      <c r="D134" s="30" t="s">
        <v>201</v>
      </c>
      <c r="E134" s="30" t="s">
        <v>24</v>
      </c>
      <c r="F134" s="30" t="s">
        <v>199</v>
      </c>
      <c r="G134" s="30" t="s">
        <v>235</v>
      </c>
      <c r="H134" s="11" t="s">
        <v>201</v>
      </c>
    </row>
    <row r="135" spans="1:8">
      <c r="A135" s="12" t="s">
        <v>239</v>
      </c>
      <c r="B135" s="13" t="s">
        <v>257</v>
      </c>
      <c r="C135" s="13" t="s">
        <v>238</v>
      </c>
      <c r="D135" s="14">
        <v>7000</v>
      </c>
      <c r="E135" s="13" t="s">
        <v>253</v>
      </c>
      <c r="F135" s="13" t="s">
        <v>277</v>
      </c>
      <c r="G135" s="13" t="s">
        <v>238</v>
      </c>
      <c r="H135" s="15">
        <v>7000</v>
      </c>
    </row>
    <row r="136" spans="1:8">
      <c r="A136" s="16" t="s">
        <v>238</v>
      </c>
      <c r="B136" s="17" t="s">
        <v>238</v>
      </c>
      <c r="C136" s="17" t="s">
        <v>238</v>
      </c>
      <c r="D136" s="17" t="s">
        <v>238</v>
      </c>
      <c r="E136" s="17" t="s">
        <v>238</v>
      </c>
      <c r="F136" s="17" t="s">
        <v>238</v>
      </c>
      <c r="G136" s="17" t="s">
        <v>238</v>
      </c>
      <c r="H136" s="19" t="s">
        <v>238</v>
      </c>
    </row>
    <row r="137" spans="1:8">
      <c r="A137" s="16" t="s">
        <v>238</v>
      </c>
      <c r="B137" s="17" t="s">
        <v>238</v>
      </c>
      <c r="C137" s="17" t="s">
        <v>238</v>
      </c>
      <c r="D137" s="20">
        <v>7000</v>
      </c>
      <c r="E137" s="17" t="s">
        <v>238</v>
      </c>
      <c r="F137" s="17" t="s">
        <v>238</v>
      </c>
      <c r="G137" s="17" t="s">
        <v>238</v>
      </c>
      <c r="H137" s="21">
        <v>7000</v>
      </c>
    </row>
    <row r="138" spans="1:8">
      <c r="A138" s="22" t="s">
        <v>238</v>
      </c>
      <c r="B138" s="23" t="s">
        <v>238</v>
      </c>
      <c r="C138" s="23" t="s">
        <v>238</v>
      </c>
      <c r="D138" s="23" t="s">
        <v>238</v>
      </c>
      <c r="E138" s="23" t="s">
        <v>246</v>
      </c>
      <c r="F138" s="23" t="s">
        <v>252</v>
      </c>
      <c r="G138" s="23" t="s">
        <v>238</v>
      </c>
      <c r="H138" s="27">
        <v>7000</v>
      </c>
    </row>
    <row r="139" spans="1:8">
      <c r="A139" s="109"/>
      <c r="B139" s="109"/>
      <c r="C139" s="109"/>
      <c r="D139" s="109"/>
      <c r="E139" s="109"/>
      <c r="F139" s="109"/>
      <c r="G139" s="109"/>
      <c r="H139" s="109"/>
    </row>
    <row r="140" spans="1:8" ht="18.75">
      <c r="A140" s="8" t="s">
        <v>101</v>
      </c>
      <c r="B140" s="108" t="s">
        <v>298</v>
      </c>
      <c r="C140" s="108"/>
      <c r="D140" s="108"/>
      <c r="E140" s="108"/>
      <c r="F140" s="108"/>
      <c r="G140" s="108"/>
      <c r="H140" s="8" t="s">
        <v>198</v>
      </c>
    </row>
    <row r="141" spans="1:8" s="31" customFormat="1" ht="18.75">
      <c r="A141" s="29" t="s">
        <v>24</v>
      </c>
      <c r="B141" s="30" t="s">
        <v>199</v>
      </c>
      <c r="C141" s="30" t="s">
        <v>235</v>
      </c>
      <c r="D141" s="30" t="s">
        <v>201</v>
      </c>
      <c r="E141" s="30" t="s">
        <v>24</v>
      </c>
      <c r="F141" s="30" t="s">
        <v>199</v>
      </c>
      <c r="G141" s="30" t="s">
        <v>235</v>
      </c>
      <c r="H141" s="11" t="s">
        <v>201</v>
      </c>
    </row>
    <row r="142" spans="1:8">
      <c r="A142" s="12" t="s">
        <v>299</v>
      </c>
      <c r="B142" s="13" t="s">
        <v>242</v>
      </c>
      <c r="C142" s="13" t="s">
        <v>238</v>
      </c>
      <c r="D142" s="14">
        <v>18000</v>
      </c>
      <c r="E142" s="13" t="s">
        <v>239</v>
      </c>
      <c r="F142" s="13" t="s">
        <v>240</v>
      </c>
      <c r="G142" s="13" t="s">
        <v>238</v>
      </c>
      <c r="H142" s="15">
        <v>18000</v>
      </c>
    </row>
    <row r="143" spans="1:8">
      <c r="A143" s="16" t="s">
        <v>238</v>
      </c>
      <c r="B143" s="17" t="s">
        <v>238</v>
      </c>
      <c r="C143" s="17" t="s">
        <v>238</v>
      </c>
      <c r="D143" s="17" t="s">
        <v>238</v>
      </c>
      <c r="E143" s="17" t="s">
        <v>238</v>
      </c>
      <c r="F143" s="17" t="s">
        <v>238</v>
      </c>
      <c r="G143" s="17" t="s">
        <v>238</v>
      </c>
      <c r="H143" s="19" t="s">
        <v>238</v>
      </c>
    </row>
    <row r="144" spans="1:8">
      <c r="A144" s="16" t="s">
        <v>238</v>
      </c>
      <c r="B144" s="17" t="s">
        <v>238</v>
      </c>
      <c r="C144" s="17" t="s">
        <v>238</v>
      </c>
      <c r="D144" s="20">
        <v>18000</v>
      </c>
      <c r="E144" s="17" t="s">
        <v>238</v>
      </c>
      <c r="F144" s="17" t="s">
        <v>238</v>
      </c>
      <c r="G144" s="17" t="s">
        <v>238</v>
      </c>
      <c r="H144" s="21">
        <v>18000</v>
      </c>
    </row>
    <row r="145" spans="1:8">
      <c r="A145" s="22" t="s">
        <v>246</v>
      </c>
      <c r="B145" s="23" t="s">
        <v>247</v>
      </c>
      <c r="C145" s="23" t="s">
        <v>238</v>
      </c>
      <c r="D145" s="28">
        <v>18000</v>
      </c>
      <c r="E145" s="23" t="s">
        <v>238</v>
      </c>
      <c r="F145" s="23" t="s">
        <v>238</v>
      </c>
      <c r="G145" s="23" t="s">
        <v>238</v>
      </c>
      <c r="H145" s="25" t="s">
        <v>238</v>
      </c>
    </row>
    <row r="146" spans="1:8">
      <c r="A146" s="109"/>
      <c r="B146" s="109"/>
      <c r="C146" s="109"/>
      <c r="D146" s="109"/>
      <c r="E146" s="109"/>
      <c r="F146" s="109"/>
      <c r="G146" s="109"/>
      <c r="H146" s="109"/>
    </row>
    <row r="147" spans="1:8" ht="18.75">
      <c r="A147" s="8" t="s">
        <v>101</v>
      </c>
      <c r="B147" s="108" t="s">
        <v>300</v>
      </c>
      <c r="C147" s="108"/>
      <c r="D147" s="108"/>
      <c r="E147" s="108"/>
      <c r="F147" s="108"/>
      <c r="G147" s="108"/>
      <c r="H147" s="8" t="s">
        <v>198</v>
      </c>
    </row>
    <row r="148" spans="1:8" s="31" customFormat="1" ht="18.75">
      <c r="A148" s="29" t="s">
        <v>24</v>
      </c>
      <c r="B148" s="30" t="s">
        <v>199</v>
      </c>
      <c r="C148" s="30" t="s">
        <v>235</v>
      </c>
      <c r="D148" s="30" t="s">
        <v>201</v>
      </c>
      <c r="E148" s="30" t="s">
        <v>24</v>
      </c>
      <c r="F148" s="30" t="s">
        <v>199</v>
      </c>
      <c r="G148" s="30" t="s">
        <v>235</v>
      </c>
      <c r="H148" s="11" t="s">
        <v>201</v>
      </c>
    </row>
    <row r="149" spans="1:8">
      <c r="A149" s="12" t="s">
        <v>239</v>
      </c>
      <c r="B149" s="13" t="s">
        <v>257</v>
      </c>
      <c r="C149" s="13" t="s">
        <v>238</v>
      </c>
      <c r="D149" s="14">
        <v>125000</v>
      </c>
      <c r="E149" s="13" t="s">
        <v>251</v>
      </c>
      <c r="F149" s="13" t="s">
        <v>240</v>
      </c>
      <c r="G149" s="13" t="s">
        <v>238</v>
      </c>
      <c r="H149" s="15">
        <v>40000</v>
      </c>
    </row>
    <row r="150" spans="1:8">
      <c r="A150" s="16" t="s">
        <v>238</v>
      </c>
      <c r="B150" s="17" t="s">
        <v>238</v>
      </c>
      <c r="C150" s="17" t="s">
        <v>238</v>
      </c>
      <c r="D150" s="17" t="s">
        <v>238</v>
      </c>
      <c r="E150" s="17" t="s">
        <v>243</v>
      </c>
      <c r="F150" s="17" t="s">
        <v>255</v>
      </c>
      <c r="G150" s="17" t="s">
        <v>238</v>
      </c>
      <c r="H150" s="26">
        <v>85000</v>
      </c>
    </row>
    <row r="151" spans="1:8">
      <c r="A151" s="16" t="s">
        <v>238</v>
      </c>
      <c r="B151" s="17" t="s">
        <v>238</v>
      </c>
      <c r="C151" s="17" t="s">
        <v>238</v>
      </c>
      <c r="D151" s="20">
        <v>125000</v>
      </c>
      <c r="E151" s="17" t="s">
        <v>238</v>
      </c>
      <c r="F151" s="17" t="s">
        <v>238</v>
      </c>
      <c r="G151" s="17" t="s">
        <v>238</v>
      </c>
      <c r="H151" s="21">
        <v>125000</v>
      </c>
    </row>
    <row r="152" spans="1:8">
      <c r="A152" s="22" t="s">
        <v>238</v>
      </c>
      <c r="B152" s="23" t="s">
        <v>238</v>
      </c>
      <c r="C152" s="23" t="s">
        <v>238</v>
      </c>
      <c r="D152" s="23" t="s">
        <v>238</v>
      </c>
      <c r="E152" s="23" t="s">
        <v>246</v>
      </c>
      <c r="F152" s="23" t="s">
        <v>252</v>
      </c>
      <c r="G152" s="23" t="s">
        <v>238</v>
      </c>
      <c r="H152" s="27">
        <v>125000</v>
      </c>
    </row>
    <row r="153" spans="1:8">
      <c r="A153" s="109"/>
      <c r="B153" s="109"/>
      <c r="C153" s="109"/>
      <c r="D153" s="109"/>
      <c r="E153" s="109"/>
      <c r="F153" s="109"/>
      <c r="G153" s="109"/>
      <c r="H153" s="109"/>
    </row>
    <row r="154" spans="1:8" ht="18.75">
      <c r="A154" s="8" t="s">
        <v>101</v>
      </c>
      <c r="B154" s="108" t="s">
        <v>301</v>
      </c>
      <c r="C154" s="108"/>
      <c r="D154" s="108"/>
      <c r="E154" s="108"/>
      <c r="F154" s="108"/>
      <c r="G154" s="108"/>
      <c r="H154" s="8" t="s">
        <v>198</v>
      </c>
    </row>
    <row r="155" spans="1:8" s="31" customFormat="1" ht="18.75">
      <c r="A155" s="29" t="s">
        <v>24</v>
      </c>
      <c r="B155" s="30" t="s">
        <v>199</v>
      </c>
      <c r="C155" s="30" t="s">
        <v>235</v>
      </c>
      <c r="D155" s="30" t="s">
        <v>201</v>
      </c>
      <c r="E155" s="30" t="s">
        <v>24</v>
      </c>
      <c r="F155" s="30" t="s">
        <v>199</v>
      </c>
      <c r="G155" s="30" t="s">
        <v>235</v>
      </c>
      <c r="H155" s="11" t="s">
        <v>201</v>
      </c>
    </row>
    <row r="156" spans="1:8">
      <c r="A156" s="12" t="s">
        <v>251</v>
      </c>
      <c r="B156" s="13" t="s">
        <v>247</v>
      </c>
      <c r="C156" s="13" t="s">
        <v>238</v>
      </c>
      <c r="D156" s="14">
        <v>45000</v>
      </c>
      <c r="E156" s="13" t="s">
        <v>284</v>
      </c>
      <c r="F156" s="13" t="s">
        <v>289</v>
      </c>
      <c r="G156" s="13" t="s">
        <v>238</v>
      </c>
      <c r="H156" s="15">
        <v>110000</v>
      </c>
    </row>
    <row r="157" spans="1:8">
      <c r="A157" s="16" t="s">
        <v>270</v>
      </c>
      <c r="B157" s="17" t="s">
        <v>263</v>
      </c>
      <c r="C157" s="17" t="s">
        <v>238</v>
      </c>
      <c r="D157" s="18">
        <v>120000</v>
      </c>
      <c r="E157" s="17" t="s">
        <v>239</v>
      </c>
      <c r="F157" s="17" t="s">
        <v>240</v>
      </c>
      <c r="G157" s="17" t="s">
        <v>238</v>
      </c>
      <c r="H157" s="26">
        <v>55000</v>
      </c>
    </row>
    <row r="158" spans="1:8">
      <c r="A158" s="16" t="s">
        <v>238</v>
      </c>
      <c r="B158" s="17" t="s">
        <v>238</v>
      </c>
      <c r="C158" s="17" t="s">
        <v>238</v>
      </c>
      <c r="D158" s="17" t="s">
        <v>238</v>
      </c>
      <c r="E158" s="17" t="s">
        <v>238</v>
      </c>
      <c r="F158" s="17" t="s">
        <v>238</v>
      </c>
      <c r="G158" s="17" t="s">
        <v>238</v>
      </c>
      <c r="H158" s="19" t="s">
        <v>238</v>
      </c>
    </row>
    <row r="159" spans="1:8">
      <c r="A159" s="16" t="s">
        <v>238</v>
      </c>
      <c r="B159" s="17" t="s">
        <v>238</v>
      </c>
      <c r="C159" s="17" t="s">
        <v>238</v>
      </c>
      <c r="D159" s="20">
        <v>165000</v>
      </c>
      <c r="E159" s="17" t="s">
        <v>238</v>
      </c>
      <c r="F159" s="17" t="s">
        <v>238</v>
      </c>
      <c r="G159" s="17" t="s">
        <v>238</v>
      </c>
      <c r="H159" s="21">
        <v>165000</v>
      </c>
    </row>
    <row r="160" spans="1:8">
      <c r="A160" s="22" t="s">
        <v>246</v>
      </c>
      <c r="B160" s="23" t="s">
        <v>247</v>
      </c>
      <c r="C160" s="23" t="s">
        <v>238</v>
      </c>
      <c r="D160" s="28">
        <v>55000</v>
      </c>
      <c r="E160" s="23" t="s">
        <v>238</v>
      </c>
      <c r="F160" s="23" t="s">
        <v>238</v>
      </c>
      <c r="G160" s="23" t="s">
        <v>238</v>
      </c>
      <c r="H160" s="25" t="s">
        <v>238</v>
      </c>
    </row>
    <row r="161" spans="1:8">
      <c r="A161" s="109"/>
      <c r="B161" s="109"/>
      <c r="C161" s="109"/>
      <c r="D161" s="109"/>
      <c r="E161" s="109"/>
      <c r="F161" s="109"/>
      <c r="G161" s="109"/>
      <c r="H161" s="109"/>
    </row>
    <row r="162" spans="1:8" ht="18.75">
      <c r="A162" s="8" t="s">
        <v>101</v>
      </c>
      <c r="B162" s="108" t="s">
        <v>302</v>
      </c>
      <c r="C162" s="108"/>
      <c r="D162" s="108"/>
      <c r="E162" s="108"/>
      <c r="F162" s="108"/>
      <c r="G162" s="108"/>
      <c r="H162" s="8" t="s">
        <v>198</v>
      </c>
    </row>
    <row r="163" spans="1:8" s="31" customFormat="1" ht="18.75">
      <c r="A163" s="29" t="s">
        <v>24</v>
      </c>
      <c r="B163" s="30" t="s">
        <v>199</v>
      </c>
      <c r="C163" s="30" t="s">
        <v>235</v>
      </c>
      <c r="D163" s="30" t="s">
        <v>201</v>
      </c>
      <c r="E163" s="30" t="s">
        <v>24</v>
      </c>
      <c r="F163" s="30" t="s">
        <v>199</v>
      </c>
      <c r="G163" s="30" t="s">
        <v>235</v>
      </c>
      <c r="H163" s="11" t="s">
        <v>201</v>
      </c>
    </row>
    <row r="164" spans="1:8">
      <c r="A164" s="12" t="s">
        <v>303</v>
      </c>
      <c r="B164" s="13" t="s">
        <v>242</v>
      </c>
      <c r="C164" s="13" t="s">
        <v>238</v>
      </c>
      <c r="D164" s="14">
        <v>5500</v>
      </c>
      <c r="E164" s="13" t="s">
        <v>239</v>
      </c>
      <c r="F164" s="13" t="s">
        <v>240</v>
      </c>
      <c r="G164" s="13" t="s">
        <v>238</v>
      </c>
      <c r="H164" s="15">
        <v>5500</v>
      </c>
    </row>
    <row r="165" spans="1:8">
      <c r="A165" s="16" t="s">
        <v>238</v>
      </c>
      <c r="B165" s="17" t="s">
        <v>238</v>
      </c>
      <c r="C165" s="17" t="s">
        <v>238</v>
      </c>
      <c r="D165" s="17" t="s">
        <v>238</v>
      </c>
      <c r="E165" s="17" t="s">
        <v>238</v>
      </c>
      <c r="F165" s="17" t="s">
        <v>238</v>
      </c>
      <c r="G165" s="17" t="s">
        <v>238</v>
      </c>
      <c r="H165" s="19" t="s">
        <v>238</v>
      </c>
    </row>
    <row r="166" spans="1:8">
      <c r="A166" s="16" t="s">
        <v>238</v>
      </c>
      <c r="B166" s="17" t="s">
        <v>238</v>
      </c>
      <c r="C166" s="17" t="s">
        <v>238</v>
      </c>
      <c r="D166" s="20">
        <v>5500</v>
      </c>
      <c r="E166" s="17" t="s">
        <v>238</v>
      </c>
      <c r="F166" s="17" t="s">
        <v>238</v>
      </c>
      <c r="G166" s="17" t="s">
        <v>238</v>
      </c>
      <c r="H166" s="21">
        <v>5500</v>
      </c>
    </row>
    <row r="167" spans="1:8">
      <c r="A167" s="22" t="s">
        <v>246</v>
      </c>
      <c r="B167" s="23" t="s">
        <v>247</v>
      </c>
      <c r="C167" s="23" t="s">
        <v>238</v>
      </c>
      <c r="D167" s="28">
        <v>5500</v>
      </c>
      <c r="E167" s="23" t="s">
        <v>238</v>
      </c>
      <c r="F167" s="23" t="s">
        <v>238</v>
      </c>
      <c r="G167" s="23" t="s">
        <v>238</v>
      </c>
      <c r="H167" s="25" t="s">
        <v>238</v>
      </c>
    </row>
    <row r="168" spans="1:8">
      <c r="A168" s="109"/>
      <c r="B168" s="109"/>
      <c r="C168" s="109"/>
      <c r="D168" s="109"/>
      <c r="E168" s="109"/>
      <c r="F168" s="109"/>
      <c r="G168" s="109"/>
      <c r="H168" s="109"/>
    </row>
    <row r="169" spans="1:8" ht="18.75">
      <c r="A169" s="8" t="s">
        <v>101</v>
      </c>
      <c r="B169" s="108" t="s">
        <v>304</v>
      </c>
      <c r="C169" s="108"/>
      <c r="D169" s="108"/>
      <c r="E169" s="108"/>
      <c r="F169" s="108"/>
      <c r="G169" s="108"/>
      <c r="H169" s="8" t="s">
        <v>198</v>
      </c>
    </row>
    <row r="170" spans="1:8" s="31" customFormat="1" ht="18.75">
      <c r="A170" s="29" t="s">
        <v>24</v>
      </c>
      <c r="B170" s="30" t="s">
        <v>199</v>
      </c>
      <c r="C170" s="30" t="s">
        <v>235</v>
      </c>
      <c r="D170" s="30" t="s">
        <v>201</v>
      </c>
      <c r="E170" s="30" t="s">
        <v>24</v>
      </c>
      <c r="F170" s="30" t="s">
        <v>199</v>
      </c>
      <c r="G170" s="30" t="s">
        <v>235</v>
      </c>
      <c r="H170" s="11" t="s">
        <v>201</v>
      </c>
    </row>
    <row r="171" spans="1:8">
      <c r="A171" s="12" t="s">
        <v>239</v>
      </c>
      <c r="B171" s="13" t="s">
        <v>257</v>
      </c>
      <c r="C171" s="13" t="s">
        <v>238</v>
      </c>
      <c r="D171" s="14">
        <v>9000</v>
      </c>
      <c r="E171" s="13" t="s">
        <v>305</v>
      </c>
      <c r="F171" s="13" t="s">
        <v>265</v>
      </c>
      <c r="G171" s="13" t="s">
        <v>238</v>
      </c>
      <c r="H171" s="15">
        <v>9000</v>
      </c>
    </row>
    <row r="172" spans="1:8">
      <c r="A172" s="16" t="s">
        <v>238</v>
      </c>
      <c r="B172" s="17" t="s">
        <v>238</v>
      </c>
      <c r="C172" s="17" t="s">
        <v>238</v>
      </c>
      <c r="D172" s="17" t="s">
        <v>238</v>
      </c>
      <c r="E172" s="17" t="s">
        <v>238</v>
      </c>
      <c r="F172" s="17" t="s">
        <v>238</v>
      </c>
      <c r="G172" s="17" t="s">
        <v>238</v>
      </c>
      <c r="H172" s="19" t="s">
        <v>238</v>
      </c>
    </row>
    <row r="173" spans="1:8">
      <c r="A173" s="16" t="s">
        <v>238</v>
      </c>
      <c r="B173" s="17" t="s">
        <v>238</v>
      </c>
      <c r="C173" s="17" t="s">
        <v>238</v>
      </c>
      <c r="D173" s="20">
        <v>9000</v>
      </c>
      <c r="E173" s="17" t="s">
        <v>238</v>
      </c>
      <c r="F173" s="17" t="s">
        <v>238</v>
      </c>
      <c r="G173" s="17" t="s">
        <v>238</v>
      </c>
      <c r="H173" s="21">
        <v>9000</v>
      </c>
    </row>
    <row r="174" spans="1:8">
      <c r="A174" s="22" t="s">
        <v>238</v>
      </c>
      <c r="B174" s="23" t="s">
        <v>238</v>
      </c>
      <c r="C174" s="23" t="s">
        <v>238</v>
      </c>
      <c r="D174" s="23" t="s">
        <v>238</v>
      </c>
      <c r="E174" s="23" t="s">
        <v>246</v>
      </c>
      <c r="F174" s="23" t="s">
        <v>252</v>
      </c>
      <c r="G174" s="23" t="s">
        <v>238</v>
      </c>
      <c r="H174" s="27">
        <v>9000</v>
      </c>
    </row>
    <row r="175" spans="1:8">
      <c r="A175" s="109"/>
      <c r="B175" s="109"/>
      <c r="C175" s="109"/>
      <c r="D175" s="109"/>
      <c r="E175" s="109"/>
      <c r="F175" s="109"/>
      <c r="G175" s="109"/>
      <c r="H175" s="109"/>
    </row>
    <row r="176" spans="1:8" ht="18.75">
      <c r="A176" s="8" t="s">
        <v>101</v>
      </c>
      <c r="B176" s="108" t="s">
        <v>306</v>
      </c>
      <c r="C176" s="108"/>
      <c r="D176" s="108"/>
      <c r="E176" s="108"/>
      <c r="F176" s="108"/>
      <c r="G176" s="108"/>
      <c r="H176" s="8" t="s">
        <v>198</v>
      </c>
    </row>
    <row r="177" spans="1:8" s="31" customFormat="1" ht="18.75">
      <c r="A177" s="29" t="s">
        <v>24</v>
      </c>
      <c r="B177" s="30" t="s">
        <v>199</v>
      </c>
      <c r="C177" s="30" t="s">
        <v>235</v>
      </c>
      <c r="D177" s="30" t="s">
        <v>201</v>
      </c>
      <c r="E177" s="30" t="s">
        <v>24</v>
      </c>
      <c r="F177" s="30" t="s">
        <v>199</v>
      </c>
      <c r="G177" s="30" t="s">
        <v>235</v>
      </c>
      <c r="H177" s="11" t="s">
        <v>201</v>
      </c>
    </row>
    <row r="178" spans="1:8">
      <c r="A178" s="12" t="s">
        <v>307</v>
      </c>
      <c r="B178" s="13" t="s">
        <v>242</v>
      </c>
      <c r="C178" s="13" t="s">
        <v>238</v>
      </c>
      <c r="D178" s="14">
        <v>12000</v>
      </c>
      <c r="E178" s="13" t="s">
        <v>239</v>
      </c>
      <c r="F178" s="13" t="s">
        <v>240</v>
      </c>
      <c r="G178" s="13" t="s">
        <v>238</v>
      </c>
      <c r="H178" s="15">
        <v>12000</v>
      </c>
    </row>
    <row r="179" spans="1:8">
      <c r="A179" s="16" t="s">
        <v>238</v>
      </c>
      <c r="B179" s="17" t="s">
        <v>238</v>
      </c>
      <c r="C179" s="17" t="s">
        <v>238</v>
      </c>
      <c r="D179" s="17" t="s">
        <v>238</v>
      </c>
      <c r="E179" s="17" t="s">
        <v>238</v>
      </c>
      <c r="F179" s="17" t="s">
        <v>238</v>
      </c>
      <c r="G179" s="17" t="s">
        <v>238</v>
      </c>
      <c r="H179" s="19" t="s">
        <v>238</v>
      </c>
    </row>
    <row r="180" spans="1:8">
      <c r="A180" s="16" t="s">
        <v>238</v>
      </c>
      <c r="B180" s="17" t="s">
        <v>238</v>
      </c>
      <c r="C180" s="17" t="s">
        <v>238</v>
      </c>
      <c r="D180" s="20">
        <v>12000</v>
      </c>
      <c r="E180" s="17" t="s">
        <v>238</v>
      </c>
      <c r="F180" s="17" t="s">
        <v>238</v>
      </c>
      <c r="G180" s="17" t="s">
        <v>238</v>
      </c>
      <c r="H180" s="21">
        <v>12000</v>
      </c>
    </row>
    <row r="181" spans="1:8">
      <c r="A181" s="22" t="s">
        <v>246</v>
      </c>
      <c r="B181" s="23" t="s">
        <v>247</v>
      </c>
      <c r="C181" s="23" t="s">
        <v>238</v>
      </c>
      <c r="D181" s="28">
        <v>12000</v>
      </c>
      <c r="E181" s="23" t="s">
        <v>238</v>
      </c>
      <c r="F181" s="23" t="s">
        <v>238</v>
      </c>
      <c r="G181" s="23" t="s">
        <v>238</v>
      </c>
      <c r="H181" s="25" t="s">
        <v>238</v>
      </c>
    </row>
    <row r="182" spans="1:8">
      <c r="A182" s="109"/>
      <c r="B182" s="109"/>
      <c r="C182" s="109"/>
      <c r="D182" s="109"/>
      <c r="E182" s="109"/>
      <c r="F182" s="109"/>
      <c r="G182" s="109"/>
      <c r="H182" s="109"/>
    </row>
    <row r="183" spans="1:8" ht="18.75">
      <c r="A183" s="8" t="s">
        <v>258</v>
      </c>
      <c r="B183" s="108" t="s">
        <v>308</v>
      </c>
      <c r="C183" s="108"/>
      <c r="D183" s="108"/>
      <c r="E183" s="108"/>
      <c r="F183" s="108"/>
      <c r="G183" s="108"/>
      <c r="H183" s="8" t="s">
        <v>198</v>
      </c>
    </row>
    <row r="184" spans="1:8" s="31" customFormat="1" ht="18.75">
      <c r="A184" s="29" t="s">
        <v>24</v>
      </c>
      <c r="B184" s="30" t="s">
        <v>199</v>
      </c>
      <c r="C184" s="30" t="s">
        <v>235</v>
      </c>
      <c r="D184" s="30" t="s">
        <v>201</v>
      </c>
      <c r="E184" s="30" t="s">
        <v>24</v>
      </c>
      <c r="F184" s="30" t="s">
        <v>199</v>
      </c>
      <c r="G184" s="30" t="s">
        <v>235</v>
      </c>
      <c r="H184" s="11" t="s">
        <v>201</v>
      </c>
    </row>
    <row r="185" spans="1:8">
      <c r="A185" s="12" t="s">
        <v>291</v>
      </c>
      <c r="B185" s="13" t="s">
        <v>254</v>
      </c>
      <c r="C185" s="13" t="s">
        <v>238</v>
      </c>
      <c r="D185" s="14">
        <v>6000</v>
      </c>
      <c r="E185" s="13" t="s">
        <v>239</v>
      </c>
      <c r="F185" s="13" t="s">
        <v>240</v>
      </c>
      <c r="G185" s="13" t="s">
        <v>238</v>
      </c>
      <c r="H185" s="15">
        <v>6000</v>
      </c>
    </row>
    <row r="186" spans="1:8">
      <c r="A186" s="16" t="s">
        <v>238</v>
      </c>
      <c r="B186" s="17" t="s">
        <v>238</v>
      </c>
      <c r="C186" s="17" t="s">
        <v>238</v>
      </c>
      <c r="D186" s="17" t="s">
        <v>238</v>
      </c>
      <c r="E186" s="17" t="s">
        <v>238</v>
      </c>
      <c r="F186" s="17" t="s">
        <v>238</v>
      </c>
      <c r="G186" s="17" t="s">
        <v>238</v>
      </c>
      <c r="H186" s="19" t="s">
        <v>238</v>
      </c>
    </row>
    <row r="187" spans="1:8">
      <c r="A187" s="16" t="s">
        <v>238</v>
      </c>
      <c r="B187" s="17" t="s">
        <v>238</v>
      </c>
      <c r="C187" s="17" t="s">
        <v>238</v>
      </c>
      <c r="D187" s="20">
        <v>6000</v>
      </c>
      <c r="E187" s="17" t="s">
        <v>238</v>
      </c>
      <c r="F187" s="17" t="s">
        <v>238</v>
      </c>
      <c r="G187" s="17" t="s">
        <v>238</v>
      </c>
      <c r="H187" s="21">
        <v>6000</v>
      </c>
    </row>
    <row r="188" spans="1:8">
      <c r="A188" s="22" t="s">
        <v>246</v>
      </c>
      <c r="B188" s="23" t="s">
        <v>247</v>
      </c>
      <c r="C188" s="23" t="s">
        <v>238</v>
      </c>
      <c r="D188" s="28">
        <v>6000</v>
      </c>
      <c r="E188" s="23" t="s">
        <v>238</v>
      </c>
      <c r="F188" s="23" t="s">
        <v>238</v>
      </c>
      <c r="G188" s="23" t="s">
        <v>238</v>
      </c>
      <c r="H188" s="25" t="s">
        <v>238</v>
      </c>
    </row>
    <row r="189" spans="1:8">
      <c r="A189" s="109"/>
      <c r="B189" s="109"/>
      <c r="C189" s="109"/>
      <c r="D189" s="109"/>
      <c r="E189" s="109"/>
      <c r="F189" s="109"/>
      <c r="G189" s="109"/>
      <c r="H189" s="109"/>
    </row>
    <row r="190" spans="1:8" ht="18.75">
      <c r="A190" s="8" t="s">
        <v>101</v>
      </c>
      <c r="B190" s="108" t="s">
        <v>309</v>
      </c>
      <c r="C190" s="108"/>
      <c r="D190" s="108"/>
      <c r="E190" s="108"/>
      <c r="F190" s="108"/>
      <c r="G190" s="108"/>
      <c r="H190" s="8" t="s">
        <v>198</v>
      </c>
    </row>
    <row r="191" spans="1:8" s="31" customFormat="1" ht="18.75">
      <c r="A191" s="29" t="s">
        <v>24</v>
      </c>
      <c r="B191" s="30" t="s">
        <v>199</v>
      </c>
      <c r="C191" s="30" t="s">
        <v>235</v>
      </c>
      <c r="D191" s="30" t="s">
        <v>201</v>
      </c>
      <c r="E191" s="30" t="s">
        <v>24</v>
      </c>
      <c r="F191" s="30" t="s">
        <v>199</v>
      </c>
      <c r="G191" s="30" t="s">
        <v>235</v>
      </c>
      <c r="H191" s="11" t="s">
        <v>201</v>
      </c>
    </row>
    <row r="192" spans="1:8">
      <c r="A192" s="12" t="s">
        <v>310</v>
      </c>
      <c r="B192" s="13" t="s">
        <v>242</v>
      </c>
      <c r="C192" s="13" t="s">
        <v>238</v>
      </c>
      <c r="D192" s="14">
        <v>4000</v>
      </c>
      <c r="E192" s="13" t="s">
        <v>239</v>
      </c>
      <c r="F192" s="13" t="s">
        <v>240</v>
      </c>
      <c r="G192" s="13" t="s">
        <v>238</v>
      </c>
      <c r="H192" s="15">
        <v>4000</v>
      </c>
    </row>
    <row r="193" spans="1:8">
      <c r="A193" s="16" t="s">
        <v>238</v>
      </c>
      <c r="B193" s="17" t="s">
        <v>238</v>
      </c>
      <c r="C193" s="17" t="s">
        <v>238</v>
      </c>
      <c r="D193" s="17" t="s">
        <v>238</v>
      </c>
      <c r="E193" s="17" t="s">
        <v>238</v>
      </c>
      <c r="F193" s="17" t="s">
        <v>238</v>
      </c>
      <c r="G193" s="17" t="s">
        <v>238</v>
      </c>
      <c r="H193" s="19" t="s">
        <v>238</v>
      </c>
    </row>
    <row r="194" spans="1:8">
      <c r="A194" s="16" t="s">
        <v>238</v>
      </c>
      <c r="B194" s="17" t="s">
        <v>238</v>
      </c>
      <c r="C194" s="17" t="s">
        <v>238</v>
      </c>
      <c r="D194" s="20">
        <v>4000</v>
      </c>
      <c r="E194" s="17" t="s">
        <v>238</v>
      </c>
      <c r="F194" s="17" t="s">
        <v>238</v>
      </c>
      <c r="G194" s="17" t="s">
        <v>238</v>
      </c>
      <c r="H194" s="21">
        <v>4000</v>
      </c>
    </row>
    <row r="195" spans="1:8">
      <c r="A195" s="22" t="s">
        <v>246</v>
      </c>
      <c r="B195" s="23" t="s">
        <v>247</v>
      </c>
      <c r="C195" s="23" t="s">
        <v>238</v>
      </c>
      <c r="D195" s="28">
        <v>4000</v>
      </c>
      <c r="E195" s="23" t="s">
        <v>238</v>
      </c>
      <c r="F195" s="23" t="s">
        <v>238</v>
      </c>
      <c r="G195" s="23" t="s">
        <v>238</v>
      </c>
      <c r="H195" s="25" t="s">
        <v>238</v>
      </c>
    </row>
    <row r="196" spans="1:8">
      <c r="A196" s="109"/>
      <c r="B196" s="109"/>
      <c r="C196" s="109"/>
      <c r="D196" s="109"/>
      <c r="E196" s="109"/>
      <c r="F196" s="109"/>
      <c r="G196" s="109"/>
      <c r="H196" s="109"/>
    </row>
    <row r="197" spans="1:8" ht="18.75">
      <c r="A197" s="8" t="s">
        <v>101</v>
      </c>
      <c r="B197" s="108" t="s">
        <v>311</v>
      </c>
      <c r="C197" s="108"/>
      <c r="D197" s="108"/>
      <c r="E197" s="108"/>
      <c r="F197" s="108"/>
      <c r="G197" s="108"/>
      <c r="H197" s="8" t="s">
        <v>198</v>
      </c>
    </row>
    <row r="198" spans="1:8" s="31" customFormat="1" ht="18.75">
      <c r="A198" s="29" t="s">
        <v>24</v>
      </c>
      <c r="B198" s="30" t="s">
        <v>199</v>
      </c>
      <c r="C198" s="30" t="s">
        <v>235</v>
      </c>
      <c r="D198" s="30" t="s">
        <v>201</v>
      </c>
      <c r="E198" s="30" t="s">
        <v>24</v>
      </c>
      <c r="F198" s="30" t="s">
        <v>199</v>
      </c>
      <c r="G198" s="30" t="s">
        <v>235</v>
      </c>
      <c r="H198" s="11" t="s">
        <v>201</v>
      </c>
    </row>
    <row r="199" spans="1:8">
      <c r="A199" s="12" t="s">
        <v>239</v>
      </c>
      <c r="B199" s="13" t="s">
        <v>257</v>
      </c>
      <c r="C199" s="13" t="s">
        <v>238</v>
      </c>
      <c r="D199" s="14">
        <v>3000</v>
      </c>
      <c r="E199" s="13" t="s">
        <v>286</v>
      </c>
      <c r="F199" s="13" t="s">
        <v>289</v>
      </c>
      <c r="G199" s="13" t="s">
        <v>238</v>
      </c>
      <c r="H199" s="15">
        <v>3000</v>
      </c>
    </row>
    <row r="200" spans="1:8">
      <c r="A200" s="16" t="s">
        <v>238</v>
      </c>
      <c r="B200" s="17" t="s">
        <v>238</v>
      </c>
      <c r="C200" s="17" t="s">
        <v>238</v>
      </c>
      <c r="D200" s="17" t="s">
        <v>238</v>
      </c>
      <c r="E200" s="17" t="s">
        <v>238</v>
      </c>
      <c r="F200" s="17" t="s">
        <v>238</v>
      </c>
      <c r="G200" s="17" t="s">
        <v>238</v>
      </c>
      <c r="H200" s="19" t="s">
        <v>238</v>
      </c>
    </row>
    <row r="201" spans="1:8">
      <c r="A201" s="16" t="s">
        <v>238</v>
      </c>
      <c r="B201" s="17" t="s">
        <v>238</v>
      </c>
      <c r="C201" s="17" t="s">
        <v>238</v>
      </c>
      <c r="D201" s="20">
        <v>3000</v>
      </c>
      <c r="E201" s="17" t="s">
        <v>238</v>
      </c>
      <c r="F201" s="17" t="s">
        <v>238</v>
      </c>
      <c r="G201" s="17" t="s">
        <v>238</v>
      </c>
      <c r="H201" s="21">
        <v>3000</v>
      </c>
    </row>
    <row r="202" spans="1:8">
      <c r="A202" s="22" t="s">
        <v>238</v>
      </c>
      <c r="B202" s="23" t="s">
        <v>238</v>
      </c>
      <c r="C202" s="23" t="s">
        <v>238</v>
      </c>
      <c r="D202" s="23" t="s">
        <v>238</v>
      </c>
      <c r="E202" s="23" t="s">
        <v>246</v>
      </c>
      <c r="F202" s="23" t="s">
        <v>252</v>
      </c>
      <c r="G202" s="23" t="s">
        <v>238</v>
      </c>
      <c r="H202" s="27">
        <v>3000</v>
      </c>
    </row>
    <row r="203" spans="1:8">
      <c r="A203" s="109"/>
      <c r="B203" s="109"/>
      <c r="C203" s="109"/>
      <c r="D203" s="109"/>
      <c r="E203" s="109"/>
      <c r="F203" s="109"/>
      <c r="G203" s="109"/>
      <c r="H203" s="109"/>
    </row>
    <row r="204" spans="1:8" ht="18.75">
      <c r="A204" s="8" t="s">
        <v>101</v>
      </c>
      <c r="B204" s="108" t="s">
        <v>312</v>
      </c>
      <c r="C204" s="108"/>
      <c r="D204" s="108"/>
      <c r="E204" s="108"/>
      <c r="F204" s="108"/>
      <c r="G204" s="108"/>
      <c r="H204" s="8" t="s">
        <v>198</v>
      </c>
    </row>
    <row r="205" spans="1:8" s="31" customFormat="1" ht="18.75">
      <c r="A205" s="29" t="s">
        <v>24</v>
      </c>
      <c r="B205" s="30" t="s">
        <v>199</v>
      </c>
      <c r="C205" s="30" t="s">
        <v>235</v>
      </c>
      <c r="D205" s="30" t="s">
        <v>201</v>
      </c>
      <c r="E205" s="30" t="s">
        <v>24</v>
      </c>
      <c r="F205" s="30" t="s">
        <v>199</v>
      </c>
      <c r="G205" s="30" t="s">
        <v>235</v>
      </c>
      <c r="H205" s="11" t="s">
        <v>201</v>
      </c>
    </row>
    <row r="206" spans="1:8">
      <c r="A206" s="12" t="s">
        <v>313</v>
      </c>
      <c r="B206" s="13" t="s">
        <v>242</v>
      </c>
      <c r="C206" s="13" t="s">
        <v>238</v>
      </c>
      <c r="D206" s="14">
        <v>8500</v>
      </c>
      <c r="E206" s="13" t="s">
        <v>239</v>
      </c>
      <c r="F206" s="13" t="s">
        <v>240</v>
      </c>
      <c r="G206" s="13" t="s">
        <v>238</v>
      </c>
      <c r="H206" s="15">
        <v>8500</v>
      </c>
    </row>
    <row r="207" spans="1:8">
      <c r="A207" s="16" t="s">
        <v>238</v>
      </c>
      <c r="B207" s="17" t="s">
        <v>238</v>
      </c>
      <c r="C207" s="17" t="s">
        <v>238</v>
      </c>
      <c r="D207" s="17" t="s">
        <v>238</v>
      </c>
      <c r="E207" s="17" t="s">
        <v>238</v>
      </c>
      <c r="F207" s="17" t="s">
        <v>238</v>
      </c>
      <c r="G207" s="17" t="s">
        <v>238</v>
      </c>
      <c r="H207" s="19" t="s">
        <v>238</v>
      </c>
    </row>
    <row r="208" spans="1:8">
      <c r="A208" s="16" t="s">
        <v>238</v>
      </c>
      <c r="B208" s="17" t="s">
        <v>238</v>
      </c>
      <c r="C208" s="17" t="s">
        <v>238</v>
      </c>
      <c r="D208" s="20">
        <v>8500</v>
      </c>
      <c r="E208" s="17" t="s">
        <v>238</v>
      </c>
      <c r="F208" s="17" t="s">
        <v>238</v>
      </c>
      <c r="G208" s="17" t="s">
        <v>238</v>
      </c>
      <c r="H208" s="21">
        <v>8500</v>
      </c>
    </row>
    <row r="209" spans="1:8">
      <c r="A209" s="22" t="s">
        <v>246</v>
      </c>
      <c r="B209" s="23" t="s">
        <v>247</v>
      </c>
      <c r="C209" s="23" t="s">
        <v>238</v>
      </c>
      <c r="D209" s="28">
        <v>8500</v>
      </c>
      <c r="E209" s="23" t="s">
        <v>238</v>
      </c>
      <c r="F209" s="23" t="s">
        <v>238</v>
      </c>
      <c r="G209" s="23" t="s">
        <v>238</v>
      </c>
      <c r="H209" s="25" t="s">
        <v>238</v>
      </c>
    </row>
    <row r="210" spans="1:8">
      <c r="A210" s="109"/>
      <c r="B210" s="109"/>
      <c r="C210" s="109"/>
      <c r="D210" s="109"/>
      <c r="E210" s="109"/>
      <c r="F210" s="109"/>
      <c r="G210" s="109"/>
      <c r="H210" s="109"/>
    </row>
    <row r="211" spans="1:8" ht="18.75">
      <c r="A211" s="8" t="s">
        <v>258</v>
      </c>
      <c r="B211" s="108" t="s">
        <v>314</v>
      </c>
      <c r="C211" s="108"/>
      <c r="D211" s="108"/>
      <c r="E211" s="108"/>
      <c r="F211" s="108"/>
      <c r="G211" s="108"/>
      <c r="H211" s="8" t="s">
        <v>198</v>
      </c>
    </row>
    <row r="212" spans="1:8" s="31" customFormat="1" ht="18.75">
      <c r="A212" s="29" t="s">
        <v>24</v>
      </c>
      <c r="B212" s="30" t="s">
        <v>199</v>
      </c>
      <c r="C212" s="30" t="s">
        <v>235</v>
      </c>
      <c r="D212" s="30" t="s">
        <v>201</v>
      </c>
      <c r="E212" s="30" t="s">
        <v>24</v>
      </c>
      <c r="F212" s="30" t="s">
        <v>199</v>
      </c>
      <c r="G212" s="30" t="s">
        <v>235</v>
      </c>
      <c r="H212" s="11" t="s">
        <v>201</v>
      </c>
    </row>
    <row r="213" spans="1:8">
      <c r="A213" s="12" t="s">
        <v>315</v>
      </c>
      <c r="B213" s="13" t="s">
        <v>242</v>
      </c>
      <c r="C213" s="13" t="s">
        <v>238</v>
      </c>
      <c r="D213" s="14">
        <v>2500</v>
      </c>
      <c r="E213" s="13" t="s">
        <v>239</v>
      </c>
      <c r="F213" s="13" t="s">
        <v>240</v>
      </c>
      <c r="G213" s="13" t="s">
        <v>238</v>
      </c>
      <c r="H213" s="15">
        <v>2500</v>
      </c>
    </row>
    <row r="214" spans="1:8">
      <c r="A214" s="16" t="s">
        <v>238</v>
      </c>
      <c r="B214" s="17" t="s">
        <v>238</v>
      </c>
      <c r="C214" s="17" t="s">
        <v>238</v>
      </c>
      <c r="D214" s="17" t="s">
        <v>238</v>
      </c>
      <c r="E214" s="17" t="s">
        <v>238</v>
      </c>
      <c r="F214" s="17" t="s">
        <v>238</v>
      </c>
      <c r="G214" s="17" t="s">
        <v>238</v>
      </c>
      <c r="H214" s="19" t="s">
        <v>238</v>
      </c>
    </row>
    <row r="215" spans="1:8">
      <c r="A215" s="16" t="s">
        <v>238</v>
      </c>
      <c r="B215" s="17" t="s">
        <v>238</v>
      </c>
      <c r="C215" s="17" t="s">
        <v>238</v>
      </c>
      <c r="D215" s="20">
        <v>2500</v>
      </c>
      <c r="E215" s="17" t="s">
        <v>238</v>
      </c>
      <c r="F215" s="17" t="s">
        <v>238</v>
      </c>
      <c r="G215" s="17" t="s">
        <v>238</v>
      </c>
      <c r="H215" s="21">
        <v>2500</v>
      </c>
    </row>
    <row r="216" spans="1:8">
      <c r="A216" s="22" t="s">
        <v>246</v>
      </c>
      <c r="B216" s="23" t="s">
        <v>247</v>
      </c>
      <c r="C216" s="23" t="s">
        <v>238</v>
      </c>
      <c r="D216" s="28">
        <v>2500</v>
      </c>
      <c r="E216" s="23" t="s">
        <v>238</v>
      </c>
      <c r="F216" s="23" t="s">
        <v>238</v>
      </c>
      <c r="G216" s="23" t="s">
        <v>238</v>
      </c>
      <c r="H216" s="25" t="s">
        <v>238</v>
      </c>
    </row>
    <row r="217" spans="1:8">
      <c r="A217" s="109"/>
      <c r="B217" s="109"/>
      <c r="C217" s="109"/>
      <c r="D217" s="109"/>
      <c r="E217" s="109"/>
      <c r="F217" s="109"/>
      <c r="G217" s="109"/>
      <c r="H217" s="109"/>
    </row>
    <row r="218" spans="1:8" ht="18.75">
      <c r="A218" s="8" t="s">
        <v>101</v>
      </c>
      <c r="B218" s="108" t="s">
        <v>316</v>
      </c>
      <c r="C218" s="108"/>
      <c r="D218" s="108"/>
      <c r="E218" s="108"/>
      <c r="F218" s="108"/>
      <c r="G218" s="108"/>
      <c r="H218" s="8" t="s">
        <v>198</v>
      </c>
    </row>
    <row r="219" spans="1:8" s="31" customFormat="1" ht="18.75">
      <c r="A219" s="29" t="s">
        <v>24</v>
      </c>
      <c r="B219" s="30" t="s">
        <v>199</v>
      </c>
      <c r="C219" s="30" t="s">
        <v>235</v>
      </c>
      <c r="D219" s="30" t="s">
        <v>201</v>
      </c>
      <c r="E219" s="30" t="s">
        <v>24</v>
      </c>
      <c r="F219" s="30" t="s">
        <v>199</v>
      </c>
      <c r="G219" s="30" t="s">
        <v>235</v>
      </c>
      <c r="H219" s="11" t="s">
        <v>201</v>
      </c>
    </row>
    <row r="220" spans="1:8">
      <c r="A220" s="12" t="s">
        <v>251</v>
      </c>
      <c r="B220" s="13" t="s">
        <v>247</v>
      </c>
      <c r="C220" s="13" t="s">
        <v>238</v>
      </c>
      <c r="D220" s="14">
        <v>60000</v>
      </c>
      <c r="E220" s="13" t="s">
        <v>239</v>
      </c>
      <c r="F220" s="13" t="s">
        <v>240</v>
      </c>
      <c r="G220" s="13" t="s">
        <v>238</v>
      </c>
      <c r="H220" s="15">
        <v>85000</v>
      </c>
    </row>
    <row r="221" spans="1:8">
      <c r="A221" s="16" t="s">
        <v>317</v>
      </c>
      <c r="B221" s="17" t="s">
        <v>242</v>
      </c>
      <c r="C221" s="17" t="s">
        <v>238</v>
      </c>
      <c r="D221" s="18">
        <v>25000</v>
      </c>
      <c r="E221" s="17" t="s">
        <v>238</v>
      </c>
      <c r="F221" s="17" t="s">
        <v>238</v>
      </c>
      <c r="G221" s="17" t="s">
        <v>238</v>
      </c>
      <c r="H221" s="19" t="s">
        <v>238</v>
      </c>
    </row>
    <row r="222" spans="1:8">
      <c r="A222" s="16" t="s">
        <v>238</v>
      </c>
      <c r="B222" s="17" t="s">
        <v>238</v>
      </c>
      <c r="C222" s="17" t="s">
        <v>238</v>
      </c>
      <c r="D222" s="20">
        <v>85000</v>
      </c>
      <c r="E222" s="17" t="s">
        <v>238</v>
      </c>
      <c r="F222" s="17" t="s">
        <v>238</v>
      </c>
      <c r="G222" s="17" t="s">
        <v>238</v>
      </c>
      <c r="H222" s="21">
        <v>85000</v>
      </c>
    </row>
    <row r="223" spans="1:8">
      <c r="A223" s="22" t="s">
        <v>246</v>
      </c>
      <c r="B223" s="23" t="s">
        <v>247</v>
      </c>
      <c r="C223" s="23" t="s">
        <v>238</v>
      </c>
      <c r="D223" s="28">
        <v>85000</v>
      </c>
      <c r="E223" s="23" t="s">
        <v>238</v>
      </c>
      <c r="F223" s="23" t="s">
        <v>238</v>
      </c>
      <c r="G223" s="23" t="s">
        <v>238</v>
      </c>
      <c r="H223" s="25" t="s">
        <v>238</v>
      </c>
    </row>
    <row r="224" spans="1:8">
      <c r="A224" s="109"/>
      <c r="B224" s="109"/>
      <c r="C224" s="109"/>
      <c r="D224" s="109"/>
      <c r="E224" s="109"/>
      <c r="F224" s="109"/>
      <c r="G224" s="109"/>
      <c r="H224" s="109"/>
    </row>
    <row r="225" spans="1:8" ht="18.75">
      <c r="A225" s="8" t="s">
        <v>258</v>
      </c>
      <c r="B225" s="108" t="s">
        <v>318</v>
      </c>
      <c r="C225" s="108"/>
      <c r="D225" s="108"/>
      <c r="E225" s="108"/>
      <c r="F225" s="108"/>
      <c r="G225" s="108"/>
      <c r="H225" s="8" t="s">
        <v>198</v>
      </c>
    </row>
    <row r="226" spans="1:8" s="31" customFormat="1" ht="18.75">
      <c r="A226" s="29" t="s">
        <v>24</v>
      </c>
      <c r="B226" s="30" t="s">
        <v>199</v>
      </c>
      <c r="C226" s="30" t="s">
        <v>235</v>
      </c>
      <c r="D226" s="30" t="s">
        <v>201</v>
      </c>
      <c r="E226" s="30" t="s">
        <v>24</v>
      </c>
      <c r="F226" s="30" t="s">
        <v>199</v>
      </c>
      <c r="G226" s="30" t="s">
        <v>235</v>
      </c>
      <c r="H226" s="11" t="s">
        <v>201</v>
      </c>
    </row>
    <row r="227" spans="1:8">
      <c r="A227" s="12" t="s">
        <v>319</v>
      </c>
      <c r="B227" s="13" t="s">
        <v>242</v>
      </c>
      <c r="C227" s="13" t="s">
        <v>238</v>
      </c>
      <c r="D227" s="14">
        <v>5000</v>
      </c>
      <c r="E227" s="13" t="s">
        <v>239</v>
      </c>
      <c r="F227" s="13" t="s">
        <v>240</v>
      </c>
      <c r="G227" s="13" t="s">
        <v>238</v>
      </c>
      <c r="H227" s="15">
        <v>5000</v>
      </c>
    </row>
    <row r="228" spans="1:8">
      <c r="A228" s="16" t="s">
        <v>238</v>
      </c>
      <c r="B228" s="17" t="s">
        <v>238</v>
      </c>
      <c r="C228" s="17" t="s">
        <v>238</v>
      </c>
      <c r="D228" s="17" t="s">
        <v>238</v>
      </c>
      <c r="E228" s="17" t="s">
        <v>238</v>
      </c>
      <c r="F228" s="17" t="s">
        <v>238</v>
      </c>
      <c r="G228" s="17" t="s">
        <v>238</v>
      </c>
      <c r="H228" s="19" t="s">
        <v>238</v>
      </c>
    </row>
    <row r="229" spans="1:8">
      <c r="A229" s="16" t="s">
        <v>238</v>
      </c>
      <c r="B229" s="17" t="s">
        <v>238</v>
      </c>
      <c r="C229" s="17" t="s">
        <v>238</v>
      </c>
      <c r="D229" s="20">
        <v>5000</v>
      </c>
      <c r="E229" s="17" t="s">
        <v>238</v>
      </c>
      <c r="F229" s="17" t="s">
        <v>238</v>
      </c>
      <c r="G229" s="17" t="s">
        <v>238</v>
      </c>
      <c r="H229" s="21">
        <v>5000</v>
      </c>
    </row>
    <row r="230" spans="1:8">
      <c r="A230" s="22" t="s">
        <v>246</v>
      </c>
      <c r="B230" s="23" t="s">
        <v>247</v>
      </c>
      <c r="C230" s="23" t="s">
        <v>238</v>
      </c>
      <c r="D230" s="24">
        <v>5000</v>
      </c>
      <c r="E230" s="23" t="s">
        <v>238</v>
      </c>
      <c r="F230" s="23" t="s">
        <v>238</v>
      </c>
      <c r="G230" s="23" t="s">
        <v>238</v>
      </c>
      <c r="H230" s="25" t="s">
        <v>238</v>
      </c>
    </row>
  </sheetData>
  <mergeCells count="54">
    <mergeCell ref="B2:G2"/>
    <mergeCell ref="A1:H1"/>
    <mergeCell ref="B16:G16"/>
    <mergeCell ref="A80:H80"/>
    <mergeCell ref="B81:G81"/>
    <mergeCell ref="A46:H46"/>
    <mergeCell ref="A55:H55"/>
    <mergeCell ref="A64:H64"/>
    <mergeCell ref="A87:H87"/>
    <mergeCell ref="A94:H94"/>
    <mergeCell ref="A101:H101"/>
    <mergeCell ref="B88:G88"/>
    <mergeCell ref="B95:G95"/>
    <mergeCell ref="A108:H108"/>
    <mergeCell ref="A118:H118"/>
    <mergeCell ref="B102:G102"/>
    <mergeCell ref="B109:G109"/>
    <mergeCell ref="B119:G119"/>
    <mergeCell ref="A125:H125"/>
    <mergeCell ref="A132:H132"/>
    <mergeCell ref="A139:H139"/>
    <mergeCell ref="B126:G126"/>
    <mergeCell ref="B133:G133"/>
    <mergeCell ref="A146:H146"/>
    <mergeCell ref="A153:H153"/>
    <mergeCell ref="B140:G140"/>
    <mergeCell ref="B147:G147"/>
    <mergeCell ref="B154:G154"/>
    <mergeCell ref="A161:H161"/>
    <mergeCell ref="A168:H168"/>
    <mergeCell ref="A175:H175"/>
    <mergeCell ref="B162:G162"/>
    <mergeCell ref="B169:G169"/>
    <mergeCell ref="A182:H182"/>
    <mergeCell ref="A189:H189"/>
    <mergeCell ref="B176:G176"/>
    <mergeCell ref="B183:G183"/>
    <mergeCell ref="B190:G190"/>
    <mergeCell ref="A196:H196"/>
    <mergeCell ref="A203:H203"/>
    <mergeCell ref="A210:H210"/>
    <mergeCell ref="B197:G197"/>
    <mergeCell ref="B204:G204"/>
    <mergeCell ref="A217:H217"/>
    <mergeCell ref="A224:H224"/>
    <mergeCell ref="B211:G211"/>
    <mergeCell ref="B218:G218"/>
    <mergeCell ref="B225:G225"/>
    <mergeCell ref="B37:G37"/>
    <mergeCell ref="B47:G47"/>
    <mergeCell ref="B56:G56"/>
    <mergeCell ref="B65:G65"/>
    <mergeCell ref="B74:G74"/>
    <mergeCell ref="A73:H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A055-741F-403E-BD38-D6ABABAABA0E}">
  <dimension ref="A1:D37"/>
  <sheetViews>
    <sheetView workbookViewId="0">
      <selection activeCell="G7" sqref="G7"/>
    </sheetView>
  </sheetViews>
  <sheetFormatPr defaultRowHeight="15.75"/>
  <cols>
    <col min="1" max="1" width="8.140625" style="1" customWidth="1"/>
    <col min="2" max="2" width="46.140625" style="1" customWidth="1"/>
    <col min="3" max="3" width="12" style="1" customWidth="1"/>
    <col min="4" max="4" width="13.28515625" style="1" customWidth="1"/>
    <col min="5" max="16384" width="9.140625" style="1"/>
  </cols>
  <sheetData>
    <row r="1" spans="1:4" ht="18.75">
      <c r="A1" s="110" t="s">
        <v>320</v>
      </c>
      <c r="B1" s="110"/>
      <c r="C1" s="110"/>
      <c r="D1" s="110"/>
    </row>
    <row r="2" spans="1:4" ht="18.75">
      <c r="A2" s="32"/>
      <c r="B2" s="32"/>
      <c r="C2" s="32"/>
      <c r="D2" s="32"/>
    </row>
    <row r="3" spans="1:4" ht="18.75">
      <c r="A3" s="38" t="s">
        <v>321</v>
      </c>
      <c r="B3" s="39" t="s">
        <v>9</v>
      </c>
      <c r="C3" s="40" t="s">
        <v>97</v>
      </c>
      <c r="D3" s="39" t="s">
        <v>98</v>
      </c>
    </row>
    <row r="4" spans="1:4">
      <c r="A4" s="41">
        <v>1</v>
      </c>
      <c r="B4" s="42" t="s">
        <v>322</v>
      </c>
      <c r="C4" s="43">
        <v>132000</v>
      </c>
      <c r="D4" s="42" t="s">
        <v>323</v>
      </c>
    </row>
    <row r="5" spans="1:4">
      <c r="A5" s="44">
        <v>2</v>
      </c>
      <c r="B5" s="45" t="s">
        <v>324</v>
      </c>
      <c r="C5" s="46">
        <v>47000</v>
      </c>
      <c r="D5" s="45" t="s">
        <v>323</v>
      </c>
    </row>
    <row r="6" spans="1:4">
      <c r="A6" s="44">
        <v>3</v>
      </c>
      <c r="B6" s="45" t="s">
        <v>325</v>
      </c>
      <c r="C6" s="46">
        <v>260000</v>
      </c>
      <c r="D6" s="45" t="s">
        <v>323</v>
      </c>
    </row>
    <row r="7" spans="1:4">
      <c r="A7" s="44">
        <v>4</v>
      </c>
      <c r="B7" s="45" t="s">
        <v>326</v>
      </c>
      <c r="C7" s="47" t="s">
        <v>323</v>
      </c>
      <c r="D7" s="48">
        <v>21000</v>
      </c>
    </row>
    <row r="8" spans="1:4">
      <c r="A8" s="44">
        <v>5</v>
      </c>
      <c r="B8" s="45" t="s">
        <v>327</v>
      </c>
      <c r="C8" s="46">
        <v>4000</v>
      </c>
      <c r="D8" s="45" t="s">
        <v>323</v>
      </c>
    </row>
    <row r="9" spans="1:4">
      <c r="A9" s="44">
        <v>6</v>
      </c>
      <c r="B9" s="45" t="s">
        <v>328</v>
      </c>
      <c r="C9" s="47" t="s">
        <v>323</v>
      </c>
      <c r="D9" s="48">
        <v>355000</v>
      </c>
    </row>
    <row r="10" spans="1:4">
      <c r="A10" s="44">
        <v>7</v>
      </c>
      <c r="B10" s="45" t="s">
        <v>329</v>
      </c>
      <c r="C10" s="46">
        <v>4500</v>
      </c>
      <c r="D10" s="45" t="s">
        <v>323</v>
      </c>
    </row>
    <row r="11" spans="1:4">
      <c r="A11" s="44">
        <v>8</v>
      </c>
      <c r="B11" s="45" t="s">
        <v>330</v>
      </c>
      <c r="C11" s="49">
        <v>15000</v>
      </c>
      <c r="D11" s="45" t="s">
        <v>323</v>
      </c>
    </row>
    <row r="12" spans="1:4">
      <c r="A12" s="44">
        <v>9</v>
      </c>
      <c r="B12" s="45" t="s">
        <v>331</v>
      </c>
      <c r="C12" s="50" t="s">
        <v>323</v>
      </c>
      <c r="D12" s="48">
        <v>12000</v>
      </c>
    </row>
    <row r="13" spans="1:4">
      <c r="A13" s="44">
        <v>10</v>
      </c>
      <c r="B13" s="45" t="s">
        <v>332</v>
      </c>
      <c r="C13" s="46">
        <v>10000</v>
      </c>
      <c r="D13" s="45" t="s">
        <v>323</v>
      </c>
    </row>
    <row r="14" spans="1:4">
      <c r="A14" s="44">
        <v>11</v>
      </c>
      <c r="B14" s="45" t="s">
        <v>333</v>
      </c>
      <c r="C14" s="46">
        <v>50000</v>
      </c>
      <c r="D14" s="45" t="s">
        <v>323</v>
      </c>
    </row>
    <row r="15" spans="1:4">
      <c r="A15" s="44">
        <v>12</v>
      </c>
      <c r="B15" s="45" t="s">
        <v>334</v>
      </c>
      <c r="C15" s="46">
        <v>22000</v>
      </c>
      <c r="D15" s="45" t="s">
        <v>323</v>
      </c>
    </row>
    <row r="16" spans="1:4">
      <c r="A16" s="44">
        <v>13</v>
      </c>
      <c r="B16" s="45" t="s">
        <v>335</v>
      </c>
      <c r="C16" s="46">
        <v>6000</v>
      </c>
      <c r="D16" s="45" t="s">
        <v>323</v>
      </c>
    </row>
    <row r="17" spans="1:4">
      <c r="A17" s="44">
        <v>14</v>
      </c>
      <c r="B17" s="45" t="s">
        <v>336</v>
      </c>
      <c r="C17" s="47" t="s">
        <v>323</v>
      </c>
      <c r="D17" s="48">
        <v>7000</v>
      </c>
    </row>
    <row r="18" spans="1:4">
      <c r="A18" s="44">
        <v>15</v>
      </c>
      <c r="B18" s="45" t="s">
        <v>337</v>
      </c>
      <c r="C18" s="46">
        <v>18000</v>
      </c>
      <c r="D18" s="45" t="s">
        <v>323</v>
      </c>
    </row>
    <row r="19" spans="1:4">
      <c r="A19" s="44">
        <v>16</v>
      </c>
      <c r="B19" s="45" t="s">
        <v>338</v>
      </c>
      <c r="C19" s="47" t="s">
        <v>323</v>
      </c>
      <c r="D19" s="48">
        <v>125000</v>
      </c>
    </row>
    <row r="20" spans="1:4">
      <c r="A20" s="44">
        <v>17</v>
      </c>
      <c r="B20" s="45" t="s">
        <v>339</v>
      </c>
      <c r="C20" s="46">
        <v>55000</v>
      </c>
      <c r="D20" s="45" t="s">
        <v>323</v>
      </c>
    </row>
    <row r="21" spans="1:4">
      <c r="A21" s="44">
        <v>18</v>
      </c>
      <c r="B21" s="45" t="s">
        <v>340</v>
      </c>
      <c r="C21" s="46">
        <v>5500</v>
      </c>
      <c r="D21" s="45" t="s">
        <v>323</v>
      </c>
    </row>
    <row r="22" spans="1:4">
      <c r="A22" s="44">
        <v>19</v>
      </c>
      <c r="B22" s="45" t="s">
        <v>341</v>
      </c>
      <c r="C22" s="47" t="s">
        <v>323</v>
      </c>
      <c r="D22" s="48">
        <v>9000</v>
      </c>
    </row>
    <row r="23" spans="1:4">
      <c r="A23" s="44">
        <v>20</v>
      </c>
      <c r="B23" s="45" t="s">
        <v>342</v>
      </c>
      <c r="C23" s="47" t="s">
        <v>323</v>
      </c>
      <c r="D23" s="48">
        <v>450000</v>
      </c>
    </row>
    <row r="24" spans="1:4">
      <c r="A24" s="44">
        <v>21</v>
      </c>
      <c r="B24" s="45" t="s">
        <v>343</v>
      </c>
      <c r="C24" s="46">
        <v>12000</v>
      </c>
      <c r="D24" s="45" t="s">
        <v>323</v>
      </c>
    </row>
    <row r="25" spans="1:4">
      <c r="A25" s="44">
        <v>22</v>
      </c>
      <c r="B25" s="45" t="s">
        <v>344</v>
      </c>
      <c r="C25" s="46">
        <v>6000</v>
      </c>
      <c r="D25" s="45" t="s">
        <v>323</v>
      </c>
    </row>
    <row r="26" spans="1:4">
      <c r="A26" s="44">
        <v>23</v>
      </c>
      <c r="B26" s="45" t="s">
        <v>345</v>
      </c>
      <c r="C26" s="46">
        <v>4000</v>
      </c>
      <c r="D26" s="45" t="s">
        <v>323</v>
      </c>
    </row>
    <row r="27" spans="1:4">
      <c r="A27" s="44">
        <v>24</v>
      </c>
      <c r="B27" s="45" t="s">
        <v>346</v>
      </c>
      <c r="C27" s="47" t="s">
        <v>323</v>
      </c>
      <c r="D27" s="48">
        <v>3000</v>
      </c>
    </row>
    <row r="28" spans="1:4">
      <c r="A28" s="44">
        <v>25</v>
      </c>
      <c r="B28" s="45" t="s">
        <v>347</v>
      </c>
      <c r="C28" s="46">
        <v>8500</v>
      </c>
      <c r="D28" s="45" t="s">
        <v>323</v>
      </c>
    </row>
    <row r="29" spans="1:4">
      <c r="A29" s="44">
        <v>26</v>
      </c>
      <c r="B29" s="45" t="s">
        <v>348</v>
      </c>
      <c r="C29" s="46">
        <v>2500</v>
      </c>
      <c r="D29" s="45" t="s">
        <v>323</v>
      </c>
    </row>
    <row r="30" spans="1:4">
      <c r="A30" s="44">
        <v>27</v>
      </c>
      <c r="B30" s="45" t="s">
        <v>349</v>
      </c>
      <c r="C30" s="46">
        <v>85000</v>
      </c>
      <c r="D30" s="45" t="s">
        <v>323</v>
      </c>
    </row>
    <row r="31" spans="1:4">
      <c r="A31" s="44">
        <v>28</v>
      </c>
      <c r="B31" s="45" t="s">
        <v>350</v>
      </c>
      <c r="C31" s="46">
        <v>5000</v>
      </c>
      <c r="D31" s="45" t="s">
        <v>323</v>
      </c>
    </row>
    <row r="32" spans="1:4">
      <c r="A32" s="44">
        <v>29</v>
      </c>
      <c r="B32" s="45" t="s">
        <v>351</v>
      </c>
      <c r="C32" s="46">
        <v>200000</v>
      </c>
      <c r="D32" s="45" t="s">
        <v>323</v>
      </c>
    </row>
    <row r="33" spans="1:4">
      <c r="A33" s="44">
        <v>30</v>
      </c>
      <c r="B33" s="45" t="s">
        <v>352</v>
      </c>
      <c r="C33" s="46">
        <v>90000</v>
      </c>
      <c r="D33" s="45" t="s">
        <v>323</v>
      </c>
    </row>
    <row r="34" spans="1:4">
      <c r="A34" s="44">
        <v>31</v>
      </c>
      <c r="B34" s="45" t="s">
        <v>353</v>
      </c>
      <c r="C34" s="46">
        <v>40000</v>
      </c>
      <c r="D34" s="45" t="s">
        <v>323</v>
      </c>
    </row>
    <row r="35" spans="1:4">
      <c r="A35" s="44">
        <v>32</v>
      </c>
      <c r="B35" s="45" t="s">
        <v>354</v>
      </c>
      <c r="C35" s="47" t="s">
        <v>323</v>
      </c>
      <c r="D35" s="48">
        <v>100000</v>
      </c>
    </row>
    <row r="36" spans="1:4" ht="18.75">
      <c r="A36" s="33" t="s">
        <v>238</v>
      </c>
      <c r="B36" s="34" t="s">
        <v>238</v>
      </c>
      <c r="C36" s="35" t="s">
        <v>238</v>
      </c>
      <c r="D36" s="34" t="s">
        <v>238</v>
      </c>
    </row>
    <row r="37" spans="1:4" ht="18.75">
      <c r="A37" s="111" t="s">
        <v>355</v>
      </c>
      <c r="B37" s="112"/>
      <c r="C37" s="36">
        <f>SUM(C4:C36)</f>
        <v>1082000</v>
      </c>
      <c r="D37" s="37">
        <f>SUM(D4:D36)</f>
        <v>1082000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C603-D014-4606-A535-0E16DEEB1723}">
  <dimension ref="A1:F11"/>
  <sheetViews>
    <sheetView workbookViewId="0">
      <selection activeCell="A4" sqref="A4:F11"/>
    </sheetView>
  </sheetViews>
  <sheetFormatPr defaultRowHeight="15.75"/>
  <cols>
    <col min="1" max="1" width="36.7109375" style="1" customWidth="1"/>
    <col min="2" max="3" width="11.7109375" style="1" customWidth="1"/>
    <col min="4" max="4" width="37.28515625" style="1" customWidth="1"/>
    <col min="5" max="5" width="11.42578125" style="1" customWidth="1"/>
    <col min="6" max="7" width="13.42578125" style="1" customWidth="1"/>
    <col min="8" max="16384" width="9.140625" style="1"/>
  </cols>
  <sheetData>
    <row r="1" spans="1:6" ht="18.75">
      <c r="A1" s="110" t="s">
        <v>356</v>
      </c>
      <c r="B1" s="110"/>
      <c r="C1" s="110"/>
      <c r="D1" s="110"/>
      <c r="E1" s="110"/>
      <c r="F1" s="110"/>
    </row>
    <row r="2" spans="1:6" ht="18.75">
      <c r="A2" s="8" t="s">
        <v>357</v>
      </c>
      <c r="B2" s="32"/>
      <c r="C2" s="32"/>
      <c r="D2" s="32"/>
      <c r="E2" s="32"/>
      <c r="F2" s="8" t="s">
        <v>358</v>
      </c>
    </row>
    <row r="3" spans="1:6" ht="18.75">
      <c r="A3" s="52" t="s">
        <v>9</v>
      </c>
      <c r="B3" s="53" t="s">
        <v>201</v>
      </c>
      <c r="C3" s="53" t="s">
        <v>201</v>
      </c>
      <c r="D3" s="53" t="s">
        <v>9</v>
      </c>
      <c r="E3" s="53" t="s">
        <v>201</v>
      </c>
      <c r="F3" s="53" t="s">
        <v>201</v>
      </c>
    </row>
    <row r="4" spans="1:6">
      <c r="A4" s="55" t="s">
        <v>359</v>
      </c>
      <c r="B4" s="57" t="s">
        <v>238</v>
      </c>
      <c r="C4" s="56">
        <v>90000</v>
      </c>
      <c r="D4" s="57" t="s">
        <v>360</v>
      </c>
      <c r="E4" s="56">
        <v>355000</v>
      </c>
      <c r="F4" s="57" t="s">
        <v>238</v>
      </c>
    </row>
    <row r="5" spans="1:6">
      <c r="A5" s="55" t="s">
        <v>361</v>
      </c>
      <c r="B5" s="56">
        <v>260000</v>
      </c>
      <c r="C5" s="57" t="s">
        <v>238</v>
      </c>
      <c r="D5" s="61" t="s">
        <v>362</v>
      </c>
      <c r="E5" s="59">
        <v>10000</v>
      </c>
      <c r="F5" s="56">
        <v>345000</v>
      </c>
    </row>
    <row r="6" spans="1:6">
      <c r="A6" s="58" t="s">
        <v>363</v>
      </c>
      <c r="B6" s="59">
        <v>12000</v>
      </c>
      <c r="C6" s="56">
        <v>248000</v>
      </c>
      <c r="D6" s="57" t="s">
        <v>364</v>
      </c>
      <c r="E6" s="57" t="s">
        <v>238</v>
      </c>
      <c r="F6" s="56">
        <v>110000</v>
      </c>
    </row>
    <row r="7" spans="1:6">
      <c r="A7" s="58" t="s">
        <v>365</v>
      </c>
      <c r="B7" s="57" t="s">
        <v>238</v>
      </c>
      <c r="C7" s="57" t="s">
        <v>238</v>
      </c>
      <c r="D7" s="57" t="s">
        <v>238</v>
      </c>
      <c r="E7" s="57" t="s">
        <v>238</v>
      </c>
      <c r="F7" s="57" t="s">
        <v>238</v>
      </c>
    </row>
    <row r="8" spans="1:6">
      <c r="A8" s="55" t="s">
        <v>366</v>
      </c>
      <c r="B8" s="57" t="s">
        <v>238</v>
      </c>
      <c r="C8" s="56">
        <v>15000</v>
      </c>
      <c r="D8" s="57" t="s">
        <v>238</v>
      </c>
      <c r="E8" s="57" t="s">
        <v>238</v>
      </c>
      <c r="F8" s="57" t="s">
        <v>238</v>
      </c>
    </row>
    <row r="9" spans="1:6">
      <c r="A9" s="55" t="s">
        <v>367</v>
      </c>
      <c r="B9" s="57" t="s">
        <v>238</v>
      </c>
      <c r="C9" s="56">
        <v>4500</v>
      </c>
      <c r="D9" s="57" t="s">
        <v>238</v>
      </c>
      <c r="E9" s="57" t="s">
        <v>238</v>
      </c>
      <c r="F9" s="57" t="s">
        <v>238</v>
      </c>
    </row>
    <row r="10" spans="1:6">
      <c r="A10" s="55" t="s">
        <v>368</v>
      </c>
      <c r="B10" s="57" t="s">
        <v>238</v>
      </c>
      <c r="C10" s="56">
        <v>97500</v>
      </c>
      <c r="D10" s="57" t="s">
        <v>238</v>
      </c>
      <c r="E10" s="57" t="s">
        <v>238</v>
      </c>
      <c r="F10" s="57" t="s">
        <v>238</v>
      </c>
    </row>
    <row r="11" spans="1:6">
      <c r="A11" s="55" t="s">
        <v>238</v>
      </c>
      <c r="B11" s="57" t="s">
        <v>238</v>
      </c>
      <c r="C11" s="60">
        <f>SUM(C4:C10)</f>
        <v>455000</v>
      </c>
      <c r="D11" s="57" t="s">
        <v>238</v>
      </c>
      <c r="E11" s="57" t="s">
        <v>238</v>
      </c>
      <c r="F11" s="60">
        <f>SUM(F5:F10)</f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8819-53DE-4D9D-A004-4DFF0DD7A9D5}">
  <dimension ref="A1:F21"/>
  <sheetViews>
    <sheetView topLeftCell="A6" workbookViewId="0">
      <selection activeCell="F22" sqref="F22"/>
    </sheetView>
  </sheetViews>
  <sheetFormatPr defaultRowHeight="15"/>
  <cols>
    <col min="1" max="1" width="36.5703125" customWidth="1"/>
    <col min="2" max="2" width="11.5703125" customWidth="1"/>
    <col min="3" max="3" width="12.140625" customWidth="1"/>
    <col min="4" max="4" width="36.5703125" customWidth="1"/>
    <col min="5" max="6" width="11.5703125" customWidth="1"/>
  </cols>
  <sheetData>
    <row r="1" spans="1:6" ht="18.75">
      <c r="A1" s="110" t="s">
        <v>369</v>
      </c>
      <c r="B1" s="110"/>
      <c r="C1" s="110"/>
      <c r="D1" s="110"/>
      <c r="E1" s="110"/>
      <c r="F1" s="110"/>
    </row>
    <row r="2" spans="1:6" ht="18.75">
      <c r="A2" s="8" t="s">
        <v>357</v>
      </c>
      <c r="B2" s="32"/>
      <c r="C2" s="32"/>
      <c r="D2" s="32"/>
      <c r="E2" s="32"/>
      <c r="F2" s="8" t="s">
        <v>358</v>
      </c>
    </row>
    <row r="3" spans="1:6" ht="18.75">
      <c r="A3" s="52" t="s">
        <v>9</v>
      </c>
      <c r="B3" s="53" t="s">
        <v>201</v>
      </c>
      <c r="C3" s="53" t="s">
        <v>201</v>
      </c>
      <c r="D3" s="53" t="s">
        <v>9</v>
      </c>
      <c r="E3" s="53" t="s">
        <v>201</v>
      </c>
      <c r="F3" s="53" t="s">
        <v>201</v>
      </c>
    </row>
    <row r="4" spans="1:6" ht="15.75">
      <c r="A4" s="55" t="s">
        <v>370</v>
      </c>
      <c r="B4" s="56">
        <v>22000</v>
      </c>
      <c r="C4" s="57" t="s">
        <v>238</v>
      </c>
      <c r="D4" s="57" t="s">
        <v>371</v>
      </c>
      <c r="E4" s="57" t="s">
        <v>238</v>
      </c>
      <c r="F4" s="56">
        <v>97500</v>
      </c>
    </row>
    <row r="5" spans="1:6" ht="15.75">
      <c r="A5" s="58" t="s">
        <v>372</v>
      </c>
      <c r="B5" s="59">
        <v>3000</v>
      </c>
      <c r="C5" s="56">
        <v>25000</v>
      </c>
      <c r="D5" s="57" t="s">
        <v>373</v>
      </c>
      <c r="E5" s="57" t="s">
        <v>238</v>
      </c>
      <c r="F5" s="56">
        <v>7000</v>
      </c>
    </row>
    <row r="6" spans="1:6" ht="15.75">
      <c r="A6" s="55" t="s">
        <v>374</v>
      </c>
      <c r="B6" s="57" t="s">
        <v>238</v>
      </c>
      <c r="C6" s="56">
        <v>6000</v>
      </c>
      <c r="D6" s="57" t="s">
        <v>375</v>
      </c>
      <c r="E6" s="57" t="s">
        <v>238</v>
      </c>
      <c r="F6" s="56">
        <v>9000</v>
      </c>
    </row>
    <row r="7" spans="1:6" ht="15.75">
      <c r="A7" s="55" t="s">
        <v>376</v>
      </c>
      <c r="B7" s="57" t="s">
        <v>238</v>
      </c>
      <c r="C7" s="56">
        <v>18000</v>
      </c>
      <c r="D7" s="57" t="s">
        <v>377</v>
      </c>
      <c r="E7" s="57" t="s">
        <v>238</v>
      </c>
      <c r="F7" s="56">
        <v>3000</v>
      </c>
    </row>
    <row r="8" spans="1:6" ht="15.75">
      <c r="A8" s="55" t="s">
        <v>378</v>
      </c>
      <c r="B8" s="57" t="s">
        <v>238</v>
      </c>
      <c r="C8" s="56">
        <v>5500</v>
      </c>
      <c r="D8" s="57" t="s">
        <v>238</v>
      </c>
      <c r="E8" s="57" t="s">
        <v>238</v>
      </c>
      <c r="F8" s="57" t="s">
        <v>238</v>
      </c>
    </row>
    <row r="9" spans="1:6" ht="15.75">
      <c r="A9" s="55" t="s">
        <v>379</v>
      </c>
      <c r="B9" s="56">
        <v>6000</v>
      </c>
      <c r="C9" s="57" t="s">
        <v>238</v>
      </c>
      <c r="D9" s="57" t="s">
        <v>238</v>
      </c>
      <c r="E9" s="57" t="s">
        <v>238</v>
      </c>
      <c r="F9" s="57" t="s">
        <v>238</v>
      </c>
    </row>
    <row r="10" spans="1:6" ht="15.75">
      <c r="A10" s="58" t="s">
        <v>380</v>
      </c>
      <c r="B10" s="59">
        <v>1500</v>
      </c>
      <c r="C10" s="56">
        <v>4500</v>
      </c>
      <c r="D10" s="57" t="s">
        <v>238</v>
      </c>
      <c r="E10" s="57" t="s">
        <v>238</v>
      </c>
      <c r="F10" s="57" t="s">
        <v>238</v>
      </c>
    </row>
    <row r="11" spans="1:6" ht="15.75">
      <c r="A11" s="55" t="s">
        <v>381</v>
      </c>
      <c r="B11" s="57" t="s">
        <v>238</v>
      </c>
      <c r="C11" s="56">
        <v>4000</v>
      </c>
      <c r="D11" s="57" t="s">
        <v>238</v>
      </c>
      <c r="E11" s="57" t="s">
        <v>238</v>
      </c>
      <c r="F11" s="57" t="s">
        <v>238</v>
      </c>
    </row>
    <row r="12" spans="1:6" ht="15.75">
      <c r="A12" s="55" t="s">
        <v>382</v>
      </c>
      <c r="B12" s="57" t="s">
        <v>238</v>
      </c>
      <c r="C12" s="56">
        <v>8500</v>
      </c>
      <c r="D12" s="57" t="s">
        <v>238</v>
      </c>
      <c r="E12" s="57" t="s">
        <v>238</v>
      </c>
      <c r="F12" s="57" t="s">
        <v>238</v>
      </c>
    </row>
    <row r="13" spans="1:6" ht="15.75">
      <c r="A13" s="55" t="s">
        <v>383</v>
      </c>
      <c r="B13" s="57" t="s">
        <v>238</v>
      </c>
      <c r="C13" s="56">
        <v>2500</v>
      </c>
      <c r="D13" s="57" t="s">
        <v>238</v>
      </c>
      <c r="E13" s="57" t="s">
        <v>238</v>
      </c>
      <c r="F13" s="57" t="s">
        <v>238</v>
      </c>
    </row>
    <row r="14" spans="1:6" ht="15.75">
      <c r="A14" s="55" t="s">
        <v>384</v>
      </c>
      <c r="B14" s="56">
        <v>5000</v>
      </c>
      <c r="C14" s="57" t="s">
        <v>238</v>
      </c>
      <c r="D14" s="57" t="s">
        <v>238</v>
      </c>
      <c r="E14" s="57" t="s">
        <v>238</v>
      </c>
      <c r="F14" s="57" t="s">
        <v>238</v>
      </c>
    </row>
    <row r="15" spans="1:6" ht="15.75">
      <c r="A15" s="58" t="s">
        <v>385</v>
      </c>
      <c r="B15" s="59">
        <v>2000</v>
      </c>
      <c r="C15" s="56">
        <v>7000</v>
      </c>
      <c r="D15" s="57" t="s">
        <v>238</v>
      </c>
      <c r="E15" s="57" t="s">
        <v>238</v>
      </c>
      <c r="F15" s="57" t="s">
        <v>238</v>
      </c>
    </row>
    <row r="16" spans="1:6" ht="15.75">
      <c r="A16" s="55" t="s">
        <v>386</v>
      </c>
      <c r="B16" s="57" t="s">
        <v>238</v>
      </c>
      <c r="C16" s="56">
        <v>1667</v>
      </c>
      <c r="D16" s="57" t="s">
        <v>238</v>
      </c>
      <c r="E16" s="57" t="s">
        <v>238</v>
      </c>
      <c r="F16" s="57" t="s">
        <v>238</v>
      </c>
    </row>
    <row r="17" spans="1:6" ht="15.75">
      <c r="A17" s="55" t="s">
        <v>387</v>
      </c>
      <c r="B17" s="57" t="s">
        <v>238</v>
      </c>
      <c r="C17" s="57">
        <v>354</v>
      </c>
      <c r="D17" s="57" t="s">
        <v>238</v>
      </c>
      <c r="E17" s="57" t="s">
        <v>238</v>
      </c>
      <c r="F17" s="57" t="s">
        <v>238</v>
      </c>
    </row>
    <row r="18" spans="1:6" ht="15.75">
      <c r="A18" s="55" t="s">
        <v>388</v>
      </c>
      <c r="B18" s="57" t="s">
        <v>238</v>
      </c>
      <c r="C18" s="57">
        <v>417</v>
      </c>
      <c r="D18" s="57" t="s">
        <v>238</v>
      </c>
      <c r="E18" s="57" t="s">
        <v>238</v>
      </c>
      <c r="F18" s="57" t="s">
        <v>238</v>
      </c>
    </row>
    <row r="19" spans="1:6" ht="15.75">
      <c r="A19" s="55" t="s">
        <v>389</v>
      </c>
      <c r="B19" s="57" t="s">
        <v>238</v>
      </c>
      <c r="C19" s="57">
        <v>333</v>
      </c>
      <c r="D19" s="57" t="s">
        <v>238</v>
      </c>
      <c r="E19" s="57" t="s">
        <v>238</v>
      </c>
      <c r="F19" s="57" t="s">
        <v>238</v>
      </c>
    </row>
    <row r="20" spans="1:6" ht="15.75">
      <c r="A20" s="55" t="s">
        <v>390</v>
      </c>
      <c r="B20" s="57" t="s">
        <v>238</v>
      </c>
      <c r="C20" s="56">
        <v>32729</v>
      </c>
      <c r="D20" s="57" t="s">
        <v>238</v>
      </c>
      <c r="E20" s="57" t="s">
        <v>238</v>
      </c>
      <c r="F20" s="57" t="s">
        <v>238</v>
      </c>
    </row>
    <row r="21" spans="1:6" ht="15.75">
      <c r="A21" s="55" t="s">
        <v>238</v>
      </c>
      <c r="B21" s="57" t="s">
        <v>238</v>
      </c>
      <c r="C21" s="60">
        <f>SUM(C4:C20)</f>
        <v>116500</v>
      </c>
      <c r="D21" s="57" t="s">
        <v>238</v>
      </c>
      <c r="E21" s="57" t="s">
        <v>238</v>
      </c>
      <c r="F21" s="60">
        <f>SUM(F4:F20)</f>
        <v>116500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B5DA-1D6D-4297-B652-F0793CC95F55}">
  <dimension ref="A1:F21"/>
  <sheetViews>
    <sheetView topLeftCell="A7" workbookViewId="0">
      <selection activeCell="I15" sqref="I15"/>
    </sheetView>
  </sheetViews>
  <sheetFormatPr defaultRowHeight="15"/>
  <cols>
    <col min="1" max="1" width="27.5703125" customWidth="1"/>
    <col min="2" max="3" width="13.7109375" customWidth="1"/>
    <col min="4" max="4" width="32.7109375" customWidth="1"/>
    <col min="5" max="5" width="11.85546875" customWidth="1"/>
    <col min="6" max="6" width="13" customWidth="1"/>
  </cols>
  <sheetData>
    <row r="1" spans="1:6" ht="18.75">
      <c r="A1" s="110" t="s">
        <v>391</v>
      </c>
      <c r="B1" s="110"/>
      <c r="C1" s="110"/>
      <c r="D1" s="110"/>
      <c r="E1" s="110"/>
      <c r="F1" s="110"/>
    </row>
    <row r="2" spans="1:6" ht="18.75">
      <c r="A2" s="8" t="s">
        <v>357</v>
      </c>
      <c r="B2" s="32"/>
      <c r="C2" s="32"/>
      <c r="D2" s="32"/>
      <c r="E2" s="32"/>
      <c r="F2" s="8" t="s">
        <v>358</v>
      </c>
    </row>
    <row r="3" spans="1:6" ht="18.75">
      <c r="A3" s="52" t="s">
        <v>392</v>
      </c>
      <c r="B3" s="53" t="s">
        <v>201</v>
      </c>
      <c r="C3" s="53" t="s">
        <v>201</v>
      </c>
      <c r="D3" s="53" t="s">
        <v>393</v>
      </c>
      <c r="E3" s="53" t="s">
        <v>201</v>
      </c>
      <c r="F3" s="53" t="s">
        <v>201</v>
      </c>
    </row>
    <row r="4" spans="1:6" ht="15.75">
      <c r="A4" s="55" t="s">
        <v>21</v>
      </c>
      <c r="B4" s="56">
        <v>450000</v>
      </c>
      <c r="C4" s="57" t="s">
        <v>238</v>
      </c>
      <c r="D4" s="61" t="s">
        <v>394</v>
      </c>
      <c r="E4" s="57" t="s">
        <v>238</v>
      </c>
      <c r="F4" s="57" t="s">
        <v>238</v>
      </c>
    </row>
    <row r="5" spans="1:6" ht="15.75">
      <c r="A5" s="58" t="s">
        <v>395</v>
      </c>
      <c r="B5" s="59">
        <v>32729</v>
      </c>
      <c r="C5" s="57" t="s">
        <v>238</v>
      </c>
      <c r="D5" s="57" t="s">
        <v>396</v>
      </c>
      <c r="E5" s="56">
        <v>132000</v>
      </c>
      <c r="F5" s="57" t="s">
        <v>238</v>
      </c>
    </row>
    <row r="6" spans="1:6" ht="15.75">
      <c r="A6" s="55" t="s">
        <v>238</v>
      </c>
      <c r="B6" s="56">
        <v>482729</v>
      </c>
      <c r="C6" s="57" t="s">
        <v>238</v>
      </c>
      <c r="D6" s="57" t="s">
        <v>12</v>
      </c>
      <c r="E6" s="59">
        <v>47000</v>
      </c>
      <c r="F6" s="56">
        <v>179000</v>
      </c>
    </row>
    <row r="7" spans="1:6" ht="15.75">
      <c r="A7" s="58" t="s">
        <v>397</v>
      </c>
      <c r="B7" s="59">
        <v>12000</v>
      </c>
      <c r="C7" s="56">
        <v>470729</v>
      </c>
      <c r="D7" s="57" t="s">
        <v>398</v>
      </c>
      <c r="E7" s="57" t="s">
        <v>238</v>
      </c>
      <c r="F7" s="56">
        <v>4000</v>
      </c>
    </row>
    <row r="8" spans="1:6" ht="15.75">
      <c r="A8" s="58" t="s">
        <v>399</v>
      </c>
      <c r="B8" s="57" t="s">
        <v>238</v>
      </c>
      <c r="C8" s="57" t="s">
        <v>238</v>
      </c>
      <c r="D8" s="57" t="s">
        <v>400</v>
      </c>
      <c r="E8" s="57" t="s">
        <v>238</v>
      </c>
      <c r="F8" s="56">
        <v>55000</v>
      </c>
    </row>
    <row r="9" spans="1:6" ht="15.75">
      <c r="A9" s="55" t="s">
        <v>22</v>
      </c>
      <c r="B9" s="57" t="s">
        <v>238</v>
      </c>
      <c r="C9" s="56">
        <v>100000</v>
      </c>
      <c r="D9" s="57" t="s">
        <v>401</v>
      </c>
      <c r="E9" s="57" t="s">
        <v>238</v>
      </c>
      <c r="F9" s="56">
        <v>1500</v>
      </c>
    </row>
    <row r="10" spans="1:6" ht="15.75">
      <c r="A10" s="58" t="s">
        <v>402</v>
      </c>
      <c r="B10" s="57" t="s">
        <v>238</v>
      </c>
      <c r="C10" s="57" t="s">
        <v>238</v>
      </c>
      <c r="D10" s="57" t="s">
        <v>403</v>
      </c>
      <c r="E10" s="57" t="s">
        <v>238</v>
      </c>
      <c r="F10" s="56">
        <v>110000</v>
      </c>
    </row>
    <row r="11" spans="1:6" ht="15.75">
      <c r="A11" s="55" t="s">
        <v>404</v>
      </c>
      <c r="B11" s="57" t="s">
        <v>238</v>
      </c>
      <c r="C11" s="56">
        <v>21000</v>
      </c>
      <c r="D11" s="61" t="s">
        <v>405</v>
      </c>
      <c r="E11" s="57" t="s">
        <v>238</v>
      </c>
      <c r="F11" s="57" t="s">
        <v>238</v>
      </c>
    </row>
    <row r="12" spans="1:6" ht="15.75">
      <c r="A12" s="55" t="s">
        <v>406</v>
      </c>
      <c r="B12" s="57" t="s">
        <v>238</v>
      </c>
      <c r="C12" s="56">
        <v>125000</v>
      </c>
      <c r="D12" s="57" t="s">
        <v>16</v>
      </c>
      <c r="E12" s="56">
        <v>40000</v>
      </c>
      <c r="F12" s="57" t="s">
        <v>238</v>
      </c>
    </row>
    <row r="13" spans="1:6" ht="15.75">
      <c r="A13" s="55" t="s">
        <v>407</v>
      </c>
      <c r="B13" s="57" t="s">
        <v>238</v>
      </c>
      <c r="C13" s="56">
        <v>3000</v>
      </c>
      <c r="D13" s="61" t="s">
        <v>408</v>
      </c>
      <c r="E13" s="62">
        <v>333</v>
      </c>
      <c r="F13" s="56">
        <v>39667</v>
      </c>
    </row>
    <row r="14" spans="1:6" ht="15.75">
      <c r="A14" s="55" t="s">
        <v>409</v>
      </c>
      <c r="B14" s="57" t="s">
        <v>238</v>
      </c>
      <c r="C14" s="56">
        <v>2000</v>
      </c>
      <c r="D14" s="57" t="s">
        <v>14</v>
      </c>
      <c r="E14" s="56">
        <v>85000</v>
      </c>
      <c r="F14" s="57" t="s">
        <v>238</v>
      </c>
    </row>
    <row r="15" spans="1:6" ht="15.75">
      <c r="A15" s="55" t="s">
        <v>238</v>
      </c>
      <c r="B15" s="57" t="s">
        <v>238</v>
      </c>
      <c r="C15" s="57" t="s">
        <v>238</v>
      </c>
      <c r="D15" s="61" t="s">
        <v>408</v>
      </c>
      <c r="E15" s="62">
        <v>354</v>
      </c>
      <c r="F15" s="56">
        <v>84646</v>
      </c>
    </row>
    <row r="16" spans="1:6" ht="15.75">
      <c r="A16" s="55" t="s">
        <v>238</v>
      </c>
      <c r="B16" s="57" t="s">
        <v>238</v>
      </c>
      <c r="C16" s="57" t="s">
        <v>238</v>
      </c>
      <c r="D16" s="57" t="s">
        <v>15</v>
      </c>
      <c r="E16" s="56">
        <v>200000</v>
      </c>
      <c r="F16" s="57" t="s">
        <v>238</v>
      </c>
    </row>
    <row r="17" spans="1:6" ht="15.75">
      <c r="A17" s="55" t="s">
        <v>238</v>
      </c>
      <c r="B17" s="57" t="s">
        <v>238</v>
      </c>
      <c r="C17" s="57" t="s">
        <v>238</v>
      </c>
      <c r="D17" s="61" t="s">
        <v>408</v>
      </c>
      <c r="E17" s="59">
        <v>1667</v>
      </c>
      <c r="F17" s="56">
        <v>198333</v>
      </c>
    </row>
    <row r="18" spans="1:6" ht="15.75">
      <c r="A18" s="55" t="s">
        <v>238</v>
      </c>
      <c r="B18" s="57" t="s">
        <v>238</v>
      </c>
      <c r="C18" s="57" t="s">
        <v>238</v>
      </c>
      <c r="D18" s="57" t="s">
        <v>410</v>
      </c>
      <c r="E18" s="56">
        <v>50000</v>
      </c>
      <c r="F18" s="57" t="s">
        <v>238</v>
      </c>
    </row>
    <row r="19" spans="1:6" ht="15.75">
      <c r="A19" s="55" t="s">
        <v>238</v>
      </c>
      <c r="B19" s="57" t="s">
        <v>238</v>
      </c>
      <c r="C19" s="57" t="s">
        <v>238</v>
      </c>
      <c r="D19" s="61" t="s">
        <v>408</v>
      </c>
      <c r="E19" s="62">
        <v>417</v>
      </c>
      <c r="F19" s="56">
        <v>49583</v>
      </c>
    </row>
    <row r="20" spans="1:6" ht="15.75">
      <c r="A20" s="55" t="s">
        <v>238</v>
      </c>
      <c r="B20" s="57" t="s">
        <v>238</v>
      </c>
      <c r="C20" s="57" t="s">
        <v>238</v>
      </c>
      <c r="D20" s="57" t="s">
        <v>238</v>
      </c>
      <c r="E20" s="57" t="s">
        <v>238</v>
      </c>
      <c r="F20" s="57" t="s">
        <v>238</v>
      </c>
    </row>
    <row r="21" spans="1:6" ht="15.75">
      <c r="A21" s="55" t="s">
        <v>238</v>
      </c>
      <c r="B21" s="57" t="s">
        <v>238</v>
      </c>
      <c r="C21" s="60">
        <f>SUM(C5:C20)</f>
        <v>721729</v>
      </c>
      <c r="D21" s="57" t="s">
        <v>238</v>
      </c>
      <c r="E21" s="57" t="s">
        <v>238</v>
      </c>
      <c r="F21" s="60">
        <f>SUM(F4:F20)</f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C9AD-4D3D-4DC8-944A-2003291B637A}">
  <dimension ref="A1:F42"/>
  <sheetViews>
    <sheetView workbookViewId="0">
      <selection activeCell="B33" sqref="B33"/>
    </sheetView>
  </sheetViews>
  <sheetFormatPr defaultRowHeight="15"/>
  <cols>
    <col min="1" max="1" width="26.7109375" bestFit="1" customWidth="1"/>
    <col min="2" max="2" width="106.85546875" customWidth="1"/>
    <col min="3" max="3" width="88.7109375" bestFit="1" customWidth="1"/>
    <col min="5" max="5" width="26.7109375" bestFit="1" customWidth="1"/>
    <col min="6" max="6" width="58.28515625" bestFit="1" customWidth="1"/>
  </cols>
  <sheetData>
    <row r="1" spans="1:6" ht="18.75">
      <c r="A1" s="100" t="s">
        <v>411</v>
      </c>
      <c r="B1" s="101"/>
      <c r="C1" s="102" t="s">
        <v>412</v>
      </c>
      <c r="D1" s="51"/>
      <c r="E1" s="104" t="s">
        <v>413</v>
      </c>
      <c r="F1" s="104"/>
    </row>
    <row r="2" spans="1:6" ht="18.75">
      <c r="A2" s="105" t="s">
        <v>414</v>
      </c>
      <c r="B2" s="106"/>
      <c r="C2" s="103"/>
      <c r="D2" s="51"/>
      <c r="E2" s="85"/>
      <c r="F2" s="85"/>
    </row>
    <row r="3" spans="1:6" ht="18.75">
      <c r="A3" s="63" t="s">
        <v>415</v>
      </c>
      <c r="B3" s="97" t="s">
        <v>416</v>
      </c>
      <c r="C3" s="64" t="s">
        <v>238</v>
      </c>
      <c r="D3" s="51"/>
      <c r="E3" s="86" t="s">
        <v>415</v>
      </c>
      <c r="F3" s="87" t="s">
        <v>238</v>
      </c>
    </row>
    <row r="4" spans="1:6" ht="15.75">
      <c r="A4" s="65" t="s">
        <v>238</v>
      </c>
      <c r="B4" s="64" t="s">
        <v>238</v>
      </c>
      <c r="C4" s="64" t="s">
        <v>417</v>
      </c>
      <c r="D4" s="51"/>
      <c r="E4" s="88" t="s">
        <v>238</v>
      </c>
      <c r="F4" s="89" t="s">
        <v>238</v>
      </c>
    </row>
    <row r="5" spans="1:6" ht="15.75">
      <c r="A5" s="65" t="s">
        <v>418</v>
      </c>
      <c r="B5" s="66">
        <v>349500</v>
      </c>
      <c r="C5" s="64" t="s">
        <v>419</v>
      </c>
      <c r="D5" s="51"/>
      <c r="E5" s="88" t="s">
        <v>418</v>
      </c>
      <c r="F5" s="90" t="s">
        <v>420</v>
      </c>
    </row>
    <row r="6" spans="1:6" ht="15.75">
      <c r="A6" s="65" t="s">
        <v>421</v>
      </c>
      <c r="B6" s="66">
        <v>151000</v>
      </c>
      <c r="C6" s="67" t="s">
        <v>422</v>
      </c>
      <c r="D6" s="51"/>
      <c r="E6" s="88" t="s">
        <v>421</v>
      </c>
      <c r="F6" s="90" t="s">
        <v>423</v>
      </c>
    </row>
    <row r="7" spans="1:6" ht="15.75">
      <c r="A7" s="68" t="s">
        <v>424</v>
      </c>
      <c r="B7" s="69">
        <f>B5/B6</f>
        <v>2.314569536423841</v>
      </c>
      <c r="C7" s="70" t="s">
        <v>425</v>
      </c>
      <c r="D7" s="51"/>
      <c r="E7" s="91" t="s">
        <v>424</v>
      </c>
      <c r="F7" s="92" t="s">
        <v>426</v>
      </c>
    </row>
    <row r="8" spans="1:6" ht="18.75">
      <c r="A8" s="63" t="s">
        <v>427</v>
      </c>
      <c r="B8" s="98" t="s">
        <v>428</v>
      </c>
      <c r="C8" s="64" t="s">
        <v>238</v>
      </c>
      <c r="D8" s="51"/>
      <c r="E8" s="93" t="s">
        <v>427</v>
      </c>
      <c r="F8" s="54" t="s">
        <v>238</v>
      </c>
    </row>
    <row r="9" spans="1:6" ht="15.75">
      <c r="A9" s="65" t="s">
        <v>238</v>
      </c>
      <c r="B9" s="64" t="s">
        <v>238</v>
      </c>
      <c r="C9" s="64" t="s">
        <v>429</v>
      </c>
      <c r="D9" s="51"/>
      <c r="E9" s="88" t="s">
        <v>238</v>
      </c>
      <c r="F9" s="89" t="s">
        <v>238</v>
      </c>
    </row>
    <row r="10" spans="1:6" ht="15.75">
      <c r="A10" s="65" t="s">
        <v>430</v>
      </c>
      <c r="B10" s="66">
        <v>238000</v>
      </c>
      <c r="C10" s="64" t="s">
        <v>431</v>
      </c>
      <c r="D10" s="51"/>
      <c r="E10" s="88" t="s">
        <v>430</v>
      </c>
      <c r="F10" s="90" t="s">
        <v>432</v>
      </c>
    </row>
    <row r="11" spans="1:6" ht="15.75">
      <c r="A11" s="65" t="s">
        <v>421</v>
      </c>
      <c r="B11" s="66">
        <v>151000</v>
      </c>
      <c r="C11" s="64" t="s">
        <v>433</v>
      </c>
      <c r="D11" s="51"/>
      <c r="E11" s="88" t="s">
        <v>421</v>
      </c>
      <c r="F11" s="90" t="s">
        <v>423</v>
      </c>
    </row>
    <row r="12" spans="1:6" ht="15.75">
      <c r="A12" s="68" t="s">
        <v>434</v>
      </c>
      <c r="B12" s="71">
        <f>B10/B11</f>
        <v>1.576158940397351</v>
      </c>
      <c r="C12" s="72" t="s">
        <v>435</v>
      </c>
      <c r="D12" s="51"/>
      <c r="E12" s="91" t="s">
        <v>434</v>
      </c>
      <c r="F12" s="92" t="s">
        <v>436</v>
      </c>
    </row>
    <row r="13" spans="1:6" ht="18.75">
      <c r="A13" s="63" t="s">
        <v>437</v>
      </c>
      <c r="B13" s="97" t="s">
        <v>438</v>
      </c>
      <c r="C13" s="64" t="s">
        <v>439</v>
      </c>
      <c r="D13" s="51"/>
      <c r="E13" s="93" t="s">
        <v>437</v>
      </c>
      <c r="F13" s="54" t="s">
        <v>238</v>
      </c>
    </row>
    <row r="14" spans="1:6" ht="15.75">
      <c r="A14" s="65" t="s">
        <v>238</v>
      </c>
      <c r="B14" s="73" t="s">
        <v>238</v>
      </c>
      <c r="C14" s="74" t="s">
        <v>440</v>
      </c>
      <c r="D14" s="51"/>
      <c r="E14" s="88" t="s">
        <v>238</v>
      </c>
      <c r="F14" s="89" t="s">
        <v>238</v>
      </c>
    </row>
    <row r="15" spans="1:6" ht="15.75">
      <c r="A15" s="65" t="s">
        <v>441</v>
      </c>
      <c r="B15" s="75">
        <v>179000</v>
      </c>
      <c r="C15" s="65" t="s">
        <v>442</v>
      </c>
      <c r="D15" s="51"/>
      <c r="E15" s="88" t="s">
        <v>441</v>
      </c>
      <c r="F15" s="90" t="s">
        <v>443</v>
      </c>
    </row>
    <row r="16" spans="1:6" ht="15.75">
      <c r="A16" s="65" t="s">
        <v>421</v>
      </c>
      <c r="B16" s="75">
        <v>151000</v>
      </c>
      <c r="C16" s="65" t="s">
        <v>444</v>
      </c>
      <c r="D16" s="51"/>
      <c r="E16" s="88" t="s">
        <v>421</v>
      </c>
      <c r="F16" s="90" t="s">
        <v>423</v>
      </c>
    </row>
    <row r="17" spans="1:6" ht="15.75">
      <c r="A17" s="68" t="s">
        <v>445</v>
      </c>
      <c r="B17" s="76">
        <f>B15/B16</f>
        <v>1.185430463576159</v>
      </c>
      <c r="C17" s="68" t="s">
        <v>446</v>
      </c>
      <c r="D17" s="51"/>
      <c r="E17" s="91" t="s">
        <v>445</v>
      </c>
      <c r="F17" s="92" t="s">
        <v>447</v>
      </c>
    </row>
    <row r="18" spans="1:6" ht="37.5">
      <c r="A18" s="63" t="s">
        <v>448</v>
      </c>
      <c r="B18" s="97" t="s">
        <v>449</v>
      </c>
      <c r="C18" s="64" t="s">
        <v>238</v>
      </c>
      <c r="D18" s="51"/>
      <c r="E18" s="93" t="s">
        <v>448</v>
      </c>
      <c r="F18" s="54" t="s">
        <v>238</v>
      </c>
    </row>
    <row r="19" spans="1:6" ht="15.75">
      <c r="A19" s="65" t="s">
        <v>238</v>
      </c>
      <c r="B19" s="64" t="s">
        <v>238</v>
      </c>
      <c r="C19" s="64" t="s">
        <v>429</v>
      </c>
      <c r="D19" s="51"/>
      <c r="E19" s="88" t="s">
        <v>238</v>
      </c>
      <c r="F19" s="89" t="s">
        <v>238</v>
      </c>
    </row>
    <row r="20" spans="1:6" ht="15.75">
      <c r="A20" s="65" t="s">
        <v>450</v>
      </c>
      <c r="B20" s="66">
        <v>251000</v>
      </c>
      <c r="C20" s="64" t="s">
        <v>451</v>
      </c>
      <c r="D20" s="51"/>
      <c r="E20" s="88" t="s">
        <v>450</v>
      </c>
      <c r="F20" s="90" t="s">
        <v>452</v>
      </c>
    </row>
    <row r="21" spans="1:6" ht="15.75">
      <c r="A21" s="65" t="s">
        <v>453</v>
      </c>
      <c r="B21" s="66">
        <v>470729</v>
      </c>
      <c r="C21" s="64" t="s">
        <v>454</v>
      </c>
      <c r="D21" s="51"/>
      <c r="E21" s="88" t="s">
        <v>453</v>
      </c>
      <c r="F21" s="90" t="s">
        <v>455</v>
      </c>
    </row>
    <row r="22" spans="1:6" ht="15.75">
      <c r="A22" s="65" t="s">
        <v>456</v>
      </c>
      <c r="B22" s="69">
        <f>B20/B21</f>
        <v>0.53321550191299028</v>
      </c>
      <c r="C22" s="72" t="s">
        <v>457</v>
      </c>
      <c r="D22" s="51"/>
      <c r="E22" s="91" t="s">
        <v>456</v>
      </c>
      <c r="F22" s="92" t="s">
        <v>458</v>
      </c>
    </row>
    <row r="23" spans="1:6" ht="37.5">
      <c r="A23" s="77" t="s">
        <v>459</v>
      </c>
      <c r="B23" s="97" t="s">
        <v>460</v>
      </c>
      <c r="C23" s="64" t="s">
        <v>461</v>
      </c>
      <c r="D23" s="51"/>
      <c r="E23" s="93" t="s">
        <v>459</v>
      </c>
      <c r="F23" s="54" t="s">
        <v>238</v>
      </c>
    </row>
    <row r="24" spans="1:6" ht="15.75">
      <c r="A24" s="65" t="s">
        <v>238</v>
      </c>
      <c r="B24" s="64" t="s">
        <v>238</v>
      </c>
      <c r="C24" s="64" t="s">
        <v>462</v>
      </c>
      <c r="D24" s="51"/>
      <c r="E24" s="88" t="s">
        <v>238</v>
      </c>
      <c r="F24" s="89" t="s">
        <v>238</v>
      </c>
    </row>
    <row r="25" spans="1:6" ht="15.75">
      <c r="A25" s="65" t="s">
        <v>450</v>
      </c>
      <c r="B25" s="66">
        <v>251000</v>
      </c>
      <c r="C25" s="64" t="s">
        <v>463</v>
      </c>
      <c r="D25" s="51"/>
      <c r="E25" s="88" t="s">
        <v>450</v>
      </c>
      <c r="F25" s="90" t="s">
        <v>452</v>
      </c>
    </row>
    <row r="26" spans="1:6" ht="15.75">
      <c r="A26" s="65" t="s">
        <v>464</v>
      </c>
      <c r="B26" s="66">
        <v>721729</v>
      </c>
      <c r="C26" s="64" t="s">
        <v>465</v>
      </c>
      <c r="D26" s="51"/>
      <c r="E26" s="88" t="s">
        <v>464</v>
      </c>
      <c r="F26" s="90" t="s">
        <v>466</v>
      </c>
    </row>
    <row r="27" spans="1:6" ht="30.75">
      <c r="A27" s="68" t="s">
        <v>467</v>
      </c>
      <c r="B27" s="78">
        <f>B25/B26</f>
        <v>0.34777596577108583</v>
      </c>
      <c r="C27" s="64" t="s">
        <v>468</v>
      </c>
      <c r="D27" s="51"/>
      <c r="E27" s="91" t="s">
        <v>467</v>
      </c>
      <c r="F27" s="92" t="s">
        <v>469</v>
      </c>
    </row>
    <row r="28" spans="1:6" ht="18.75" customHeight="1">
      <c r="A28" s="63" t="s">
        <v>470</v>
      </c>
      <c r="B28" s="99" t="s">
        <v>471</v>
      </c>
      <c r="C28" s="79" t="s">
        <v>238</v>
      </c>
      <c r="D28" s="51"/>
      <c r="E28" s="93" t="s">
        <v>470</v>
      </c>
      <c r="F28" s="54" t="s">
        <v>238</v>
      </c>
    </row>
    <row r="29" spans="1:6" ht="15.75">
      <c r="A29" s="65" t="s">
        <v>238</v>
      </c>
      <c r="B29" s="64" t="s">
        <v>238</v>
      </c>
      <c r="C29" s="64" t="s">
        <v>472</v>
      </c>
      <c r="D29" s="51"/>
      <c r="E29" s="88" t="s">
        <v>238</v>
      </c>
      <c r="F29" s="89" t="s">
        <v>238</v>
      </c>
    </row>
    <row r="30" spans="1:6" ht="15.75">
      <c r="A30" s="65" t="s">
        <v>473</v>
      </c>
      <c r="B30" s="66">
        <v>345000</v>
      </c>
      <c r="C30" s="64" t="s">
        <v>474</v>
      </c>
      <c r="D30" s="51"/>
      <c r="E30" s="88" t="s">
        <v>473</v>
      </c>
      <c r="F30" s="90" t="s">
        <v>475</v>
      </c>
    </row>
    <row r="31" spans="1:6" ht="15.75">
      <c r="A31" s="65" t="s">
        <v>464</v>
      </c>
      <c r="B31" s="66">
        <v>721729</v>
      </c>
      <c r="C31" s="64" t="s">
        <v>476</v>
      </c>
      <c r="D31" s="51"/>
      <c r="E31" s="88" t="s">
        <v>464</v>
      </c>
      <c r="F31" s="90" t="s">
        <v>464</v>
      </c>
    </row>
    <row r="32" spans="1:6" ht="15.75">
      <c r="A32" s="65" t="s">
        <v>477</v>
      </c>
      <c r="B32" s="69">
        <f>B30/B31</f>
        <v>0.47801875773316577</v>
      </c>
      <c r="C32" s="72" t="s">
        <v>478</v>
      </c>
      <c r="D32" s="51"/>
      <c r="E32" s="91" t="s">
        <v>477</v>
      </c>
      <c r="F32" s="92" t="s">
        <v>479</v>
      </c>
    </row>
    <row r="33" spans="1:6" ht="32.25" customHeight="1">
      <c r="A33" s="77" t="s">
        <v>480</v>
      </c>
      <c r="B33" s="97" t="s">
        <v>481</v>
      </c>
      <c r="C33" s="64" t="s">
        <v>238</v>
      </c>
      <c r="D33" s="51"/>
      <c r="E33" s="93" t="s">
        <v>480</v>
      </c>
      <c r="F33" s="54" t="s">
        <v>238</v>
      </c>
    </row>
    <row r="34" spans="1:6" ht="15.75">
      <c r="A34" s="65" t="s">
        <v>238</v>
      </c>
      <c r="B34" s="64" t="s">
        <v>238</v>
      </c>
      <c r="C34" s="64" t="s">
        <v>482</v>
      </c>
      <c r="D34" s="51"/>
      <c r="E34" s="88" t="s">
        <v>238</v>
      </c>
      <c r="F34" s="89" t="s">
        <v>238</v>
      </c>
    </row>
    <row r="35" spans="1:6" ht="15.75">
      <c r="A35" s="65" t="s">
        <v>473</v>
      </c>
      <c r="B35" s="66">
        <v>345000</v>
      </c>
      <c r="C35" s="67" t="s">
        <v>483</v>
      </c>
      <c r="D35" s="51"/>
      <c r="E35" s="88" t="s">
        <v>473</v>
      </c>
      <c r="F35" s="90" t="s">
        <v>475</v>
      </c>
    </row>
    <row r="36" spans="1:6" ht="15.75">
      <c r="A36" s="65" t="s">
        <v>484</v>
      </c>
      <c r="B36" s="66">
        <v>198500</v>
      </c>
      <c r="C36" s="64" t="s">
        <v>485</v>
      </c>
      <c r="D36" s="51"/>
      <c r="E36" s="88" t="s">
        <v>484</v>
      </c>
      <c r="F36" s="90" t="s">
        <v>486</v>
      </c>
    </row>
    <row r="37" spans="1:6" ht="30.75">
      <c r="A37" s="68" t="s">
        <v>487</v>
      </c>
      <c r="B37" s="69">
        <f>B35/B36</f>
        <v>1.7380352644836272</v>
      </c>
      <c r="C37" s="72" t="s">
        <v>488</v>
      </c>
      <c r="D37" s="51"/>
      <c r="E37" s="91" t="s">
        <v>487</v>
      </c>
      <c r="F37" s="92" t="s">
        <v>489</v>
      </c>
    </row>
    <row r="38" spans="1:6" ht="18.75">
      <c r="A38" s="80" t="s">
        <v>490</v>
      </c>
      <c r="B38" s="98" t="s">
        <v>491</v>
      </c>
      <c r="C38" s="67" t="s">
        <v>238</v>
      </c>
      <c r="D38" s="51"/>
      <c r="E38" s="94" t="s">
        <v>490</v>
      </c>
      <c r="F38" s="54" t="s">
        <v>238</v>
      </c>
    </row>
    <row r="39" spans="1:6" ht="15.75">
      <c r="A39" s="74" t="s">
        <v>238</v>
      </c>
      <c r="B39" s="67" t="s">
        <v>238</v>
      </c>
      <c r="C39" s="67" t="s">
        <v>492</v>
      </c>
      <c r="D39" s="51"/>
      <c r="E39" s="95" t="s">
        <v>238</v>
      </c>
      <c r="F39" s="89" t="s">
        <v>238</v>
      </c>
    </row>
    <row r="40" spans="1:6" ht="15.75">
      <c r="A40" s="74" t="s">
        <v>493</v>
      </c>
      <c r="B40" s="81">
        <v>247500</v>
      </c>
      <c r="C40" s="82" t="s">
        <v>494</v>
      </c>
      <c r="D40" s="51"/>
      <c r="E40" s="95" t="s">
        <v>493</v>
      </c>
      <c r="F40" s="89" t="s">
        <v>495</v>
      </c>
    </row>
    <row r="41" spans="1:6" ht="15.75">
      <c r="A41" s="74" t="s">
        <v>496</v>
      </c>
      <c r="B41" s="81">
        <v>100000</v>
      </c>
      <c r="C41" s="67" t="s">
        <v>497</v>
      </c>
      <c r="D41" s="51"/>
      <c r="E41" s="95" t="s">
        <v>496</v>
      </c>
      <c r="F41" s="89" t="s">
        <v>498</v>
      </c>
    </row>
    <row r="42" spans="1:6" ht="15.75">
      <c r="A42" s="83" t="s">
        <v>499</v>
      </c>
      <c r="B42" s="84">
        <f>B40/B41</f>
        <v>2.4750000000000001</v>
      </c>
      <c r="C42" s="70" t="s">
        <v>500</v>
      </c>
      <c r="D42" s="51"/>
      <c r="E42" s="96" t="s">
        <v>499</v>
      </c>
      <c r="F42" s="57" t="s">
        <v>501</v>
      </c>
    </row>
  </sheetData>
  <mergeCells count="4">
    <mergeCell ref="A1:B1"/>
    <mergeCell ref="C1:C2"/>
    <mergeCell ref="E1:F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2026-10-08T03:28:36Z</dcterms:created>
  <dcterms:modified xsi:type="dcterms:W3CDTF">2026-10-13T04:37:14Z</dcterms:modified>
  <cp:category/>
  <cp:contentStatus/>
</cp:coreProperties>
</file>